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0d169820723523/Uni/Aerospace Master/1. Semester/Aerospace Strcutures/Assignment 2/AerospaceStructures_Assignment2/"/>
    </mc:Choice>
  </mc:AlternateContent>
  <xr:revisionPtr revIDLastSave="25" documentId="13_ncr:1_{4071ACE8-B8E8-7F45-AA5C-44E61B53CA45}" xr6:coauthVersionLast="47" xr6:coauthVersionMax="47" xr10:uidLastSave="{471096F5-3BA6-4B3C-AAD3-2B1CF6E55BE5}"/>
  <bookViews>
    <workbookView xWindow="-108" yWindow="-108" windowWidth="23256" windowHeight="12456" firstSheet="1" activeTab="8" xr2:uid="{774086B3-7ADF-614D-BABB-EF0864783B0B}"/>
  </bookViews>
  <sheets>
    <sheet name="Import_UngaBunga" sheetId="11" r:id="rId1"/>
    <sheet name="Import" sheetId="1" r:id="rId2"/>
    <sheet name="Results_d" sheetId="2" r:id="rId3"/>
    <sheet name="Volume" sheetId="10" r:id="rId4"/>
    <sheet name="Results_e,f" sheetId="3" r:id="rId5"/>
    <sheet name="Results_e_continued" sheetId="4" r:id="rId6"/>
    <sheet name="f_Crippling" sheetId="7" r:id="rId7"/>
    <sheet name="f_RF" sheetId="9" r:id="rId8"/>
    <sheet name="Results_final" sheetId="5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9" l="1"/>
  <c r="D3" i="9" s="1"/>
  <c r="E21" i="7"/>
  <c r="B17" i="7"/>
  <c r="B16" i="7"/>
  <c r="B19" i="7" s="1"/>
  <c r="B43" i="10"/>
  <c r="F38" i="5" s="1"/>
  <c r="B32" i="10"/>
  <c r="E29" i="9"/>
  <c r="E30" i="9"/>
  <c r="E31" i="9"/>
  <c r="E32" i="9"/>
  <c r="E33" i="9"/>
  <c r="E34" i="9"/>
  <c r="E35" i="9"/>
  <c r="E36" i="9"/>
  <c r="D29" i="9"/>
  <c r="D30" i="9"/>
  <c r="D31" i="9"/>
  <c r="D32" i="9"/>
  <c r="D33" i="9"/>
  <c r="D34" i="9"/>
  <c r="D35" i="9"/>
  <c r="D36" i="9"/>
  <c r="D28" i="9"/>
  <c r="H11" i="9" l="1"/>
  <c r="I11" i="9" s="1"/>
  <c r="D11" i="9"/>
  <c r="D8" i="9"/>
  <c r="H8" i="9"/>
  <c r="I8" i="9" s="1"/>
  <c r="D6" i="9"/>
  <c r="H6" i="9"/>
  <c r="I6" i="9" s="1"/>
  <c r="D5" i="9"/>
  <c r="H5" i="9"/>
  <c r="I5" i="9" s="1"/>
  <c r="D4" i="9"/>
  <c r="H4" i="9"/>
  <c r="I4" i="9" s="1"/>
  <c r="H10" i="9"/>
  <c r="I10" i="9" s="1"/>
  <c r="D10" i="9"/>
  <c r="D9" i="9"/>
  <c r="H9" i="9"/>
  <c r="I9" i="9" s="1"/>
  <c r="D7" i="9"/>
  <c r="H7" i="9"/>
  <c r="I7" i="9" s="1"/>
  <c r="H3" i="9"/>
  <c r="I3" i="9" s="1"/>
  <c r="T10" i="7" l="1"/>
  <c r="T9" i="7"/>
  <c r="Q9" i="7"/>
  <c r="Q13" i="7" s="1"/>
  <c r="T13" i="7"/>
  <c r="AQ2" i="4"/>
  <c r="AQ5" i="4"/>
  <c r="AQ8" i="4"/>
  <c r="AQ11" i="4"/>
  <c r="AQ14" i="4"/>
  <c r="AQ17" i="4"/>
  <c r="AQ20" i="4"/>
  <c r="AQ23" i="4"/>
  <c r="AQ26" i="4"/>
  <c r="AQ29" i="4"/>
  <c r="AP5" i="4"/>
  <c r="AP8" i="4"/>
  <c r="AP11" i="4"/>
  <c r="AP14" i="4"/>
  <c r="AP17" i="4"/>
  <c r="AP20" i="4"/>
  <c r="AP23" i="4"/>
  <c r="AP26" i="4"/>
  <c r="AP29" i="4"/>
  <c r="AK5" i="4"/>
  <c r="AK8" i="4"/>
  <c r="AK11" i="4"/>
  <c r="AK14" i="4"/>
  <c r="AK17" i="4"/>
  <c r="AK20" i="4"/>
  <c r="AK23" i="4"/>
  <c r="AK26" i="4"/>
  <c r="AK29" i="4"/>
  <c r="AK2" i="4"/>
  <c r="AM2" i="4"/>
  <c r="AJ5" i="4"/>
  <c r="AJ8" i="4"/>
  <c r="AJ11" i="4"/>
  <c r="AJ14" i="4"/>
  <c r="AJ17" i="4"/>
  <c r="AJ20" i="4"/>
  <c r="AJ23" i="4"/>
  <c r="AJ26" i="4"/>
  <c r="AJ29" i="4"/>
  <c r="AN2" i="4"/>
  <c r="AN5" i="4"/>
  <c r="AN8" i="4"/>
  <c r="AN11" i="4"/>
  <c r="AN14" i="4"/>
  <c r="AN17" i="4"/>
  <c r="AN20" i="4"/>
  <c r="AN23" i="4"/>
  <c r="AN26" i="4"/>
  <c r="AN29" i="4"/>
  <c r="AM5" i="4"/>
  <c r="AM8" i="4"/>
  <c r="AM11" i="4"/>
  <c r="AM14" i="4"/>
  <c r="AM17" i="4"/>
  <c r="AM20" i="4"/>
  <c r="AM23" i="4"/>
  <c r="AM26" i="4"/>
  <c r="AM29" i="4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H2" i="2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B3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41" i="4" l="1"/>
  <c r="B43" i="4" s="1"/>
  <c r="E5" i="3"/>
  <c r="E2" i="3"/>
  <c r="P13" i="3" a="1"/>
  <c r="P13" i="3" s="1"/>
  <c r="L2" i="3" a="1"/>
  <c r="L2" i="3" s="1"/>
  <c r="E22" i="7"/>
  <c r="E25" i="7" s="1"/>
  <c r="E20" i="7"/>
  <c r="E23" i="7" s="1"/>
  <c r="E26" i="7" s="1"/>
  <c r="E29" i="7" s="1"/>
  <c r="E16" i="7"/>
  <c r="E10" i="7"/>
  <c r="E9" i="7"/>
  <c r="E15" i="7"/>
  <c r="E14" i="7"/>
  <c r="E8" i="7"/>
  <c r="B21" i="7"/>
  <c r="B14" i="7"/>
  <c r="B13" i="7"/>
  <c r="B9" i="7"/>
  <c r="B10" i="7"/>
  <c r="B38" i="10"/>
  <c r="B37" i="10"/>
  <c r="B34" i="10"/>
  <c r="B35" i="10" s="1"/>
  <c r="B42" i="10" s="1"/>
  <c r="T5" i="7"/>
  <c r="E24" i="7"/>
  <c r="E27" i="7"/>
  <c r="B20" i="7"/>
  <c r="B22" i="7" s="1"/>
  <c r="B23" i="7" s="1"/>
  <c r="B11" i="7"/>
  <c r="B8" i="7"/>
  <c r="F27" i="5"/>
  <c r="F28" i="5"/>
  <c r="F30" i="5"/>
  <c r="F32" i="5"/>
  <c r="E11" i="7"/>
  <c r="B42" i="4"/>
  <c r="E17" i="4"/>
  <c r="D2" i="3"/>
  <c r="L13" i="3" a="1"/>
  <c r="L13" i="3" s="1"/>
  <c r="Q2" i="7"/>
  <c r="T6" i="7" s="1"/>
  <c r="W2" i="7"/>
  <c r="E12" i="7"/>
  <c r="F50" i="3"/>
  <c r="F56" i="3"/>
  <c r="E44" i="3"/>
  <c r="D32" i="3"/>
  <c r="D35" i="3"/>
  <c r="D38" i="3"/>
  <c r="F38" i="3" s="1"/>
  <c r="D41" i="3"/>
  <c r="E41" i="3" s="1"/>
  <c r="D44" i="3"/>
  <c r="F44" i="3" s="1"/>
  <c r="D47" i="3"/>
  <c r="E47" i="3" s="1"/>
  <c r="D50" i="3"/>
  <c r="E50" i="3" s="1"/>
  <c r="D53" i="3"/>
  <c r="E53" i="3" s="1"/>
  <c r="D56" i="3"/>
  <c r="E56" i="3" s="1"/>
  <c r="D59" i="3"/>
  <c r="F59" i="3" s="1"/>
  <c r="D62" i="3"/>
  <c r="F62" i="3" s="1"/>
  <c r="B40" i="4"/>
  <c r="A5" i="4"/>
  <c r="A8" i="4"/>
  <c r="A11" i="4"/>
  <c r="A14" i="4"/>
  <c r="A17" i="4"/>
  <c r="A20" i="4"/>
  <c r="A23" i="4"/>
  <c r="A26" i="4"/>
  <c r="A29" i="4"/>
  <c r="A2" i="4"/>
  <c r="H8" i="3"/>
  <c r="N5" i="5" s="1"/>
  <c r="G11" i="3"/>
  <c r="D11" i="4" s="1"/>
  <c r="H11" i="3"/>
  <c r="N6" i="5" s="1"/>
  <c r="J11" i="3"/>
  <c r="G11" i="4" s="1"/>
  <c r="H14" i="3"/>
  <c r="E14" i="4" s="1"/>
  <c r="H17" i="3"/>
  <c r="J20" i="3"/>
  <c r="M9" i="5" s="1"/>
  <c r="F26" i="3"/>
  <c r="C26" i="4" s="1"/>
  <c r="D29" i="3"/>
  <c r="J29" i="3" s="1"/>
  <c r="G29" i="4" s="1"/>
  <c r="D5" i="3"/>
  <c r="D8" i="3"/>
  <c r="F8" i="3" s="1"/>
  <c r="L5" i="5" s="1"/>
  <c r="D11" i="3"/>
  <c r="F11" i="3" s="1"/>
  <c r="L6" i="5" s="1"/>
  <c r="D14" i="3"/>
  <c r="F14" i="3" s="1"/>
  <c r="C14" i="4" s="1"/>
  <c r="D17" i="3"/>
  <c r="G17" i="3" s="1"/>
  <c r="D20" i="3"/>
  <c r="I20" i="3" s="1"/>
  <c r="F9" i="5" s="1"/>
  <c r="D23" i="3"/>
  <c r="J23" i="3" s="1"/>
  <c r="G23" i="4" s="1"/>
  <c r="D26" i="3"/>
  <c r="G26" i="3" s="1"/>
  <c r="A65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2" i="3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F2" i="2"/>
  <c r="F3" i="2"/>
  <c r="H3" i="2" s="1"/>
  <c r="F4" i="2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17" i="2"/>
  <c r="H17" i="2" s="1"/>
  <c r="F18" i="2"/>
  <c r="H18" i="2" s="1"/>
  <c r="F19" i="2"/>
  <c r="H19" i="2" s="1"/>
  <c r="F20" i="2"/>
  <c r="H20" i="2" s="1"/>
  <c r="F21" i="2"/>
  <c r="H21" i="2" s="1"/>
  <c r="F22" i="2"/>
  <c r="H22" i="2" s="1"/>
  <c r="F23" i="2"/>
  <c r="H23" i="2" s="1"/>
  <c r="F24" i="2"/>
  <c r="H24" i="2" s="1"/>
  <c r="F25" i="2"/>
  <c r="H25" i="2" s="1"/>
  <c r="F26" i="2"/>
  <c r="H26" i="2" s="1"/>
  <c r="F27" i="2"/>
  <c r="H27" i="2" s="1"/>
  <c r="F28" i="2"/>
  <c r="F29" i="2"/>
  <c r="H29" i="2" s="1"/>
  <c r="F30" i="2"/>
  <c r="H30" i="2" s="1"/>
  <c r="F31" i="2"/>
  <c r="H31" i="2" s="1"/>
  <c r="F32" i="2"/>
  <c r="C32" i="2" s="1"/>
  <c r="H32" i="2" s="1"/>
  <c r="F33" i="2"/>
  <c r="C33" i="2" s="1"/>
  <c r="F34" i="2"/>
  <c r="C34" i="2" s="1"/>
  <c r="F35" i="2"/>
  <c r="C35" i="2" s="1"/>
  <c r="F36" i="2"/>
  <c r="C36" i="2" s="1"/>
  <c r="F37" i="2"/>
  <c r="C37" i="2" s="1"/>
  <c r="H2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F39" i="2"/>
  <c r="C39" i="2" s="1"/>
  <c r="F40" i="2"/>
  <c r="C40" i="2" s="1"/>
  <c r="F41" i="2"/>
  <c r="C41" i="2" s="1"/>
  <c r="F42" i="2"/>
  <c r="C42" i="2" s="1"/>
  <c r="F43" i="2"/>
  <c r="C43" i="2" s="1"/>
  <c r="F44" i="2"/>
  <c r="C44" i="2" s="1"/>
  <c r="F45" i="2"/>
  <c r="C45" i="2" s="1"/>
  <c r="F46" i="2"/>
  <c r="C46" i="2" s="1"/>
  <c r="F47" i="2"/>
  <c r="C47" i="2" s="1"/>
  <c r="F48" i="2"/>
  <c r="C48" i="2" s="1"/>
  <c r="F49" i="2"/>
  <c r="C49" i="2" s="1"/>
  <c r="F50" i="2"/>
  <c r="C50" i="2" s="1"/>
  <c r="F51" i="2"/>
  <c r="C51" i="2" s="1"/>
  <c r="F52" i="2"/>
  <c r="C52" i="2" s="1"/>
  <c r="F53" i="2"/>
  <c r="C53" i="2" s="1"/>
  <c r="F54" i="2"/>
  <c r="C54" i="2" s="1"/>
  <c r="F55" i="2"/>
  <c r="C55" i="2" s="1"/>
  <c r="H55" i="2" s="1"/>
  <c r="F56" i="2"/>
  <c r="C56" i="2" s="1"/>
  <c r="F57" i="2"/>
  <c r="C57" i="2" s="1"/>
  <c r="F58" i="2"/>
  <c r="C58" i="2" s="1"/>
  <c r="F59" i="2"/>
  <c r="C59" i="2" s="1"/>
  <c r="F60" i="2"/>
  <c r="C60" i="2" s="1"/>
  <c r="F61" i="2"/>
  <c r="C61" i="2" s="1"/>
  <c r="F62" i="2"/>
  <c r="C62" i="2" s="1"/>
  <c r="F63" i="2"/>
  <c r="C63" i="2" s="1"/>
  <c r="F64" i="2"/>
  <c r="C64" i="2" s="1"/>
  <c r="F38" i="2"/>
  <c r="C38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D32" i="2"/>
  <c r="D33" i="2"/>
  <c r="D34" i="2"/>
  <c r="D35" i="2"/>
  <c r="D36" i="2"/>
  <c r="D37" i="2"/>
  <c r="D38" i="2"/>
  <c r="D39" i="2"/>
  <c r="D40" i="2"/>
  <c r="I40" i="2" s="1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I2" i="2"/>
  <c r="B64" i="2"/>
  <c r="B54" i="2"/>
  <c r="B55" i="2"/>
  <c r="B56" i="2"/>
  <c r="B57" i="2"/>
  <c r="B58" i="2"/>
  <c r="B59" i="2"/>
  <c r="B60" i="2"/>
  <c r="B61" i="2"/>
  <c r="B62" i="2"/>
  <c r="B63" i="2"/>
  <c r="B46" i="2"/>
  <c r="B47" i="2"/>
  <c r="B48" i="2"/>
  <c r="B49" i="2"/>
  <c r="B50" i="2"/>
  <c r="B51" i="2"/>
  <c r="B52" i="2"/>
  <c r="B53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3" i="2"/>
  <c r="B4" i="2"/>
  <c r="B5" i="2"/>
  <c r="B2" i="2"/>
  <c r="B24" i="7" l="1"/>
  <c r="Q18" i="7" s="1"/>
  <c r="E11" i="4"/>
  <c r="E8" i="4"/>
  <c r="B5" i="4"/>
  <c r="C11" i="4"/>
  <c r="K11" i="4" s="1"/>
  <c r="G20" i="4"/>
  <c r="F20" i="4"/>
  <c r="B2" i="4"/>
  <c r="Q5" i="7"/>
  <c r="Q6" i="7"/>
  <c r="O7" i="5"/>
  <c r="H5" i="5"/>
  <c r="H12" i="5"/>
  <c r="O6" i="5"/>
  <c r="H11" i="5"/>
  <c r="O11" i="5"/>
  <c r="O4" i="5"/>
  <c r="H8" i="5"/>
  <c r="O3" i="5"/>
  <c r="C8" i="4"/>
  <c r="D17" i="4"/>
  <c r="D26" i="4"/>
  <c r="I2" i="3"/>
  <c r="J2" i="3"/>
  <c r="G2" i="4" s="1"/>
  <c r="H26" i="3"/>
  <c r="H20" i="3"/>
  <c r="J5" i="3"/>
  <c r="G5" i="4" s="1"/>
  <c r="E62" i="3"/>
  <c r="G20" i="3"/>
  <c r="H5" i="3"/>
  <c r="E5" i="4" s="1"/>
  <c r="E59" i="3"/>
  <c r="F20" i="3"/>
  <c r="G5" i="3"/>
  <c r="J17" i="3"/>
  <c r="F5" i="3"/>
  <c r="C5" i="4" s="1"/>
  <c r="E4" i="5"/>
  <c r="M12" i="5"/>
  <c r="E20" i="3"/>
  <c r="B20" i="4" s="1"/>
  <c r="I29" i="3"/>
  <c r="I23" i="3"/>
  <c r="F23" i="4" s="1"/>
  <c r="I17" i="3"/>
  <c r="F17" i="4" s="1"/>
  <c r="I11" i="3"/>
  <c r="F11" i="4" s="1"/>
  <c r="I5" i="3"/>
  <c r="F5" i="4" s="1"/>
  <c r="E38" i="3"/>
  <c r="O13" i="3" s="1" a="1"/>
  <c r="O13" i="3" s="1"/>
  <c r="E11" i="3"/>
  <c r="F29" i="3"/>
  <c r="C29" i="4" s="1"/>
  <c r="F23" i="3"/>
  <c r="C23" i="4" s="1"/>
  <c r="F17" i="3"/>
  <c r="F53" i="3"/>
  <c r="E29" i="3"/>
  <c r="E17" i="3"/>
  <c r="H29" i="3"/>
  <c r="E29" i="4" s="1"/>
  <c r="H23" i="3"/>
  <c r="E14" i="3"/>
  <c r="B14" i="4" s="1"/>
  <c r="G29" i="3"/>
  <c r="G23" i="3"/>
  <c r="E23" i="3"/>
  <c r="E8" i="3"/>
  <c r="B8" i="4" s="1"/>
  <c r="J26" i="3"/>
  <c r="G26" i="4" s="1"/>
  <c r="L26" i="4" s="1"/>
  <c r="J14" i="3"/>
  <c r="G14" i="4" s="1"/>
  <c r="L14" i="4" s="1"/>
  <c r="J8" i="3"/>
  <c r="H2" i="3"/>
  <c r="I26" i="3"/>
  <c r="F26" i="4" s="1"/>
  <c r="I14" i="3"/>
  <c r="I8" i="3"/>
  <c r="E26" i="3"/>
  <c r="F47" i="3"/>
  <c r="F2" i="3"/>
  <c r="G14" i="3"/>
  <c r="G8" i="3"/>
  <c r="F41" i="3"/>
  <c r="N7" i="5"/>
  <c r="M3" i="5"/>
  <c r="G6" i="5"/>
  <c r="L11" i="5"/>
  <c r="M10" i="5"/>
  <c r="G11" i="5"/>
  <c r="H42" i="2"/>
  <c r="H33" i="2"/>
  <c r="L7" i="5"/>
  <c r="M6" i="5"/>
  <c r="G8" i="5"/>
  <c r="N8" i="5"/>
  <c r="H54" i="2"/>
  <c r="H53" i="2"/>
  <c r="I37" i="2"/>
  <c r="H41" i="2"/>
  <c r="H34" i="2"/>
  <c r="Q7" i="7"/>
  <c r="T7" i="7"/>
  <c r="H58" i="2"/>
  <c r="H46" i="2"/>
  <c r="H59" i="2"/>
  <c r="H47" i="2"/>
  <c r="I64" i="2"/>
  <c r="I52" i="2"/>
  <c r="I35" i="2"/>
  <c r="I63" i="2"/>
  <c r="I51" i="2"/>
  <c r="I39" i="2"/>
  <c r="H57" i="2"/>
  <c r="H45" i="2"/>
  <c r="H56" i="2"/>
  <c r="H36" i="2"/>
  <c r="I38" i="2"/>
  <c r="H37" i="2"/>
  <c r="I62" i="2"/>
  <c r="I50" i="2"/>
  <c r="I61" i="2"/>
  <c r="I49" i="2"/>
  <c r="H64" i="2"/>
  <c r="H44" i="2"/>
  <c r="H43" i="2"/>
  <c r="H35" i="2"/>
  <c r="I34" i="2"/>
  <c r="I33" i="2"/>
  <c r="H52" i="2"/>
  <c r="H40" i="2"/>
  <c r="I32" i="2"/>
  <c r="H63" i="2"/>
  <c r="H51" i="2"/>
  <c r="H39" i="2"/>
  <c r="H38" i="2"/>
  <c r="I58" i="2"/>
  <c r="I44" i="2"/>
  <c r="I55" i="2"/>
  <c r="I59" i="2"/>
  <c r="I46" i="2"/>
  <c r="I56" i="2"/>
  <c r="I42" i="2"/>
  <c r="I53" i="2"/>
  <c r="I41" i="2"/>
  <c r="H61" i="2"/>
  <c r="H49" i="2"/>
  <c r="I47" i="2"/>
  <c r="I57" i="2"/>
  <c r="I45" i="2"/>
  <c r="I43" i="2"/>
  <c r="I54" i="2"/>
  <c r="H60" i="2"/>
  <c r="H48" i="2"/>
  <c r="H62" i="2"/>
  <c r="H50" i="2"/>
  <c r="I60" i="2"/>
  <c r="I48" i="2"/>
  <c r="I36" i="2"/>
  <c r="C33" i="9" l="1"/>
  <c r="C28" i="9"/>
  <c r="Q19" i="7"/>
  <c r="I30" i="5" s="1"/>
  <c r="C29" i="9"/>
  <c r="C31" i="9"/>
  <c r="L11" i="4"/>
  <c r="O11" i="4"/>
  <c r="C2" i="4"/>
  <c r="N2" i="3" a="1"/>
  <c r="N2" i="3" s="1"/>
  <c r="J5" i="4"/>
  <c r="M2" i="3" a="1"/>
  <c r="M2" i="3" s="1"/>
  <c r="C16" i="9" s="1"/>
  <c r="C3" i="9" s="1"/>
  <c r="E3" i="9" s="1"/>
  <c r="O9" i="5"/>
  <c r="H6" i="5"/>
  <c r="H9" i="5"/>
  <c r="O5" i="5"/>
  <c r="H10" i="5"/>
  <c r="H7" i="5"/>
  <c r="O10" i="5"/>
  <c r="O12" i="5"/>
  <c r="H3" i="5"/>
  <c r="O8" i="5"/>
  <c r="H4" i="5"/>
  <c r="Q10" i="7"/>
  <c r="Q11" i="7"/>
  <c r="K14" i="4"/>
  <c r="O14" i="4" s="1"/>
  <c r="AD14" i="4" s="1"/>
  <c r="K26" i="4"/>
  <c r="O26" i="4" s="1"/>
  <c r="M8" i="5"/>
  <c r="G17" i="4"/>
  <c r="M5" i="5"/>
  <c r="G8" i="4"/>
  <c r="K8" i="4" s="1"/>
  <c r="E20" i="4"/>
  <c r="N11" i="5"/>
  <c r="E26" i="4"/>
  <c r="N4" i="5"/>
  <c r="E2" i="4"/>
  <c r="N10" i="5"/>
  <c r="E23" i="4"/>
  <c r="L2" i="4"/>
  <c r="K2" i="4"/>
  <c r="L5" i="4"/>
  <c r="K5" i="4"/>
  <c r="L29" i="4"/>
  <c r="K29" i="4"/>
  <c r="L8" i="5"/>
  <c r="C17" i="4"/>
  <c r="L23" i="4"/>
  <c r="K23" i="4"/>
  <c r="L9" i="5"/>
  <c r="C20" i="4"/>
  <c r="I5" i="4"/>
  <c r="N5" i="4" s="1"/>
  <c r="F8" i="5"/>
  <c r="F2" i="4"/>
  <c r="I2" i="4" s="1"/>
  <c r="F5" i="5"/>
  <c r="F8" i="4"/>
  <c r="I8" i="4" s="1"/>
  <c r="F3" i="5"/>
  <c r="F4" i="5"/>
  <c r="F12" i="5"/>
  <c r="F29" i="4"/>
  <c r="F7" i="5"/>
  <c r="F14" i="4"/>
  <c r="I14" i="4" s="1"/>
  <c r="D8" i="4"/>
  <c r="D20" i="4"/>
  <c r="G10" i="5"/>
  <c r="D23" i="4"/>
  <c r="G7" i="5"/>
  <c r="D14" i="4"/>
  <c r="G12" i="5"/>
  <c r="D29" i="4"/>
  <c r="D5" i="4"/>
  <c r="E11" i="5"/>
  <c r="B26" i="4"/>
  <c r="E8" i="5"/>
  <c r="B17" i="4"/>
  <c r="E12" i="5"/>
  <c r="B29" i="4"/>
  <c r="E6" i="5"/>
  <c r="B11" i="4"/>
  <c r="E10" i="5"/>
  <c r="B23" i="4"/>
  <c r="J20" i="4"/>
  <c r="I20" i="4"/>
  <c r="M11" i="5"/>
  <c r="M7" i="5"/>
  <c r="M4" i="5"/>
  <c r="N3" i="5"/>
  <c r="N9" i="5"/>
  <c r="G9" i="5"/>
  <c r="G4" i="5"/>
  <c r="F10" i="5"/>
  <c r="G5" i="5"/>
  <c r="E7" i="5"/>
  <c r="L4" i="5"/>
  <c r="E5" i="5"/>
  <c r="L12" i="5"/>
  <c r="E9" i="5"/>
  <c r="L10" i="5"/>
  <c r="F11" i="5"/>
  <c r="N12" i="5"/>
  <c r="E3" i="5"/>
  <c r="L3" i="5"/>
  <c r="F6" i="5"/>
  <c r="B33" i="5" a="1"/>
  <c r="B33" i="5" s="1"/>
  <c r="T11" i="7"/>
  <c r="T12" i="7"/>
  <c r="I32" i="5" l="1"/>
  <c r="I28" i="5"/>
  <c r="L8" i="4"/>
  <c r="J8" i="4"/>
  <c r="J14" i="4"/>
  <c r="N14" i="4" s="1"/>
  <c r="T14" i="4" s="1"/>
  <c r="O23" i="4"/>
  <c r="N8" i="4"/>
  <c r="I27" i="5"/>
  <c r="E30" i="7"/>
  <c r="T18" i="7" s="1"/>
  <c r="G17" i="5"/>
  <c r="G16" i="5"/>
  <c r="G19" i="5"/>
  <c r="G21" i="5"/>
  <c r="O8" i="4"/>
  <c r="O29" i="4"/>
  <c r="L20" i="4"/>
  <c r="K20" i="4"/>
  <c r="O5" i="4"/>
  <c r="L17" i="4"/>
  <c r="K17" i="4"/>
  <c r="O2" i="4"/>
  <c r="Y2" i="4" s="1"/>
  <c r="J2" i="4"/>
  <c r="N2" i="4" s="1"/>
  <c r="I29" i="4"/>
  <c r="J29" i="4"/>
  <c r="N20" i="4"/>
  <c r="V20" i="4" s="1"/>
  <c r="J17" i="4"/>
  <c r="I17" i="4"/>
  <c r="I23" i="4"/>
  <c r="J23" i="4"/>
  <c r="N23" i="4" s="1"/>
  <c r="U23" i="4" s="1"/>
  <c r="I26" i="4"/>
  <c r="J26" i="4"/>
  <c r="I11" i="4"/>
  <c r="J11" i="4"/>
  <c r="AD23" i="4"/>
  <c r="AA23" i="4"/>
  <c r="AB23" i="4"/>
  <c r="AC23" i="4"/>
  <c r="D16" i="9"/>
  <c r="G3" i="9" s="1"/>
  <c r="D22" i="9"/>
  <c r="G9" i="9" s="1"/>
  <c r="D23" i="9"/>
  <c r="G10" i="9" s="1"/>
  <c r="D24" i="9"/>
  <c r="G11" i="9" s="1"/>
  <c r="D18" i="9"/>
  <c r="G5" i="9" s="1"/>
  <c r="D17" i="9"/>
  <c r="G4" i="9" s="1"/>
  <c r="D19" i="9"/>
  <c r="G6" i="9" s="1"/>
  <c r="D20" i="9"/>
  <c r="G7" i="9" s="1"/>
  <c r="D21" i="9"/>
  <c r="G8" i="9" s="1"/>
  <c r="Z23" i="4"/>
  <c r="C17" i="9"/>
  <c r="C19" i="9"/>
  <c r="C24" i="9"/>
  <c r="C11" i="9" s="1"/>
  <c r="E11" i="9" s="1"/>
  <c r="C21" i="9"/>
  <c r="C22" i="9"/>
  <c r="C9" i="9" s="1"/>
  <c r="E9" i="9" s="1"/>
  <c r="C23" i="9"/>
  <c r="C10" i="9" s="1"/>
  <c r="E10" i="9" s="1"/>
  <c r="C20" i="9"/>
  <c r="C7" i="9" s="1"/>
  <c r="E7" i="9" s="1"/>
  <c r="C18" i="9"/>
  <c r="C5" i="9" s="1"/>
  <c r="E5" i="9" s="1"/>
  <c r="V8" i="4"/>
  <c r="Y23" i="4"/>
  <c r="T5" i="4"/>
  <c r="AC14" i="4"/>
  <c r="AA14" i="4"/>
  <c r="Y14" i="4"/>
  <c r="Z11" i="4"/>
  <c r="Y11" i="4"/>
  <c r="AD11" i="4"/>
  <c r="AC11" i="4"/>
  <c r="AB11" i="4"/>
  <c r="AA11" i="4"/>
  <c r="Z14" i="4"/>
  <c r="AB14" i="4"/>
  <c r="Z26" i="4"/>
  <c r="AA26" i="4"/>
  <c r="AB26" i="4"/>
  <c r="AD26" i="4"/>
  <c r="Y26" i="4"/>
  <c r="AC26" i="4"/>
  <c r="T15" i="7"/>
  <c r="Q15" i="7"/>
  <c r="C32" i="9" l="1"/>
  <c r="C30" i="9"/>
  <c r="C34" i="9"/>
  <c r="T19" i="7"/>
  <c r="C36" i="9"/>
  <c r="C35" i="9"/>
  <c r="C6" i="9"/>
  <c r="E6" i="9" s="1"/>
  <c r="C4" i="9"/>
  <c r="E4" i="9" s="1"/>
  <c r="C8" i="9"/>
  <c r="E8" i="9" s="1"/>
  <c r="G32" i="5"/>
  <c r="G27" i="5"/>
  <c r="G28" i="5"/>
  <c r="G30" i="5"/>
  <c r="R14" i="4"/>
  <c r="U14" i="4"/>
  <c r="S14" i="4"/>
  <c r="Q14" i="4"/>
  <c r="V14" i="4"/>
  <c r="AA2" i="4"/>
  <c r="Z2" i="4"/>
  <c r="AC2" i="4"/>
  <c r="AD2" i="4"/>
  <c r="N29" i="4"/>
  <c r="V29" i="4" s="1"/>
  <c r="T2" i="4"/>
  <c r="Q2" i="4"/>
  <c r="S2" i="4"/>
  <c r="G31" i="5"/>
  <c r="G33" i="5"/>
  <c r="G34" i="5"/>
  <c r="G35" i="5"/>
  <c r="G29" i="5"/>
  <c r="F31" i="5"/>
  <c r="F33" i="5"/>
  <c r="F35" i="5"/>
  <c r="F29" i="5"/>
  <c r="F34" i="5"/>
  <c r="W14" i="4"/>
  <c r="I7" i="5" s="1"/>
  <c r="AE11" i="4"/>
  <c r="P6" i="5" s="1"/>
  <c r="AE14" i="4"/>
  <c r="P7" i="5" s="1"/>
  <c r="AE26" i="4"/>
  <c r="P11" i="5" s="1"/>
  <c r="AE23" i="4"/>
  <c r="P10" i="5" s="1"/>
  <c r="O17" i="4"/>
  <c r="AA17" i="4" s="1"/>
  <c r="O20" i="4"/>
  <c r="AB20" i="4" s="1"/>
  <c r="AB2" i="4"/>
  <c r="N26" i="4"/>
  <c r="T26" i="4" s="1"/>
  <c r="N17" i="4"/>
  <c r="Q17" i="4" s="1"/>
  <c r="N11" i="4"/>
  <c r="S11" i="4" s="1"/>
  <c r="T23" i="4"/>
  <c r="U2" i="4"/>
  <c r="L18" i="5"/>
  <c r="L23" i="5"/>
  <c r="L21" i="5"/>
  <c r="L16" i="5"/>
  <c r="L22" i="5"/>
  <c r="L24" i="5"/>
  <c r="L20" i="5"/>
  <c r="L19" i="5"/>
  <c r="L17" i="5"/>
  <c r="F18" i="5"/>
  <c r="F23" i="5"/>
  <c r="F20" i="5"/>
  <c r="F22" i="5"/>
  <c r="F24" i="5"/>
  <c r="F16" i="5"/>
  <c r="V23" i="4"/>
  <c r="T20" i="4"/>
  <c r="Q20" i="4"/>
  <c r="R20" i="4"/>
  <c r="S20" i="4"/>
  <c r="AC5" i="4"/>
  <c r="AB5" i="4"/>
  <c r="Z5" i="4"/>
  <c r="AD5" i="4"/>
  <c r="Y5" i="4"/>
  <c r="AA5" i="4"/>
  <c r="U20" i="4"/>
  <c r="S5" i="4"/>
  <c r="R23" i="4"/>
  <c r="S23" i="4"/>
  <c r="Q23" i="4"/>
  <c r="U5" i="4"/>
  <c r="R5" i="4"/>
  <c r="AB29" i="4"/>
  <c r="Z29" i="4"/>
  <c r="AD29" i="4"/>
  <c r="Y29" i="4"/>
  <c r="AA29" i="4"/>
  <c r="AC29" i="4"/>
  <c r="Q5" i="4"/>
  <c r="V5" i="4"/>
  <c r="U8" i="4"/>
  <c r="R8" i="4"/>
  <c r="Q8" i="4"/>
  <c r="S8" i="4"/>
  <c r="T8" i="4"/>
  <c r="Z8" i="4"/>
  <c r="AD8" i="4"/>
  <c r="AA8" i="4"/>
  <c r="AB8" i="4"/>
  <c r="AC8" i="4"/>
  <c r="Y8" i="4"/>
  <c r="T16" i="7"/>
  <c r="Q16" i="7"/>
  <c r="Q23" i="7" s="1"/>
  <c r="V2" i="4"/>
  <c r="R2" i="4"/>
  <c r="F19" i="5" l="1"/>
  <c r="F21" i="5"/>
  <c r="F17" i="5"/>
  <c r="T23" i="7"/>
  <c r="U17" i="4"/>
  <c r="T29" i="4"/>
  <c r="R29" i="4"/>
  <c r="Q29" i="4"/>
  <c r="S29" i="4"/>
  <c r="U29" i="4"/>
  <c r="W29" i="4" s="1"/>
  <c r="AA20" i="4"/>
  <c r="AD20" i="4"/>
  <c r="Y17" i="4"/>
  <c r="AD17" i="4"/>
  <c r="AC17" i="4"/>
  <c r="AE2" i="4"/>
  <c r="AH2" i="4" s="1"/>
  <c r="R17" i="4"/>
  <c r="AH14" i="4"/>
  <c r="V17" i="4"/>
  <c r="AH11" i="4"/>
  <c r="Y20" i="4"/>
  <c r="T17" i="4"/>
  <c r="T11" i="4"/>
  <c r="Q11" i="4"/>
  <c r="U11" i="4"/>
  <c r="V11" i="4"/>
  <c r="AG14" i="4"/>
  <c r="W2" i="4"/>
  <c r="AG2" i="4" s="1"/>
  <c r="AJ2" i="4" s="1"/>
  <c r="AP2" i="4" s="1"/>
  <c r="G23" i="5"/>
  <c r="G24" i="5"/>
  <c r="G22" i="5"/>
  <c r="G20" i="5"/>
  <c r="G18" i="5"/>
  <c r="I34" i="5"/>
  <c r="I29" i="5"/>
  <c r="I33" i="5"/>
  <c r="I35" i="5"/>
  <c r="I31" i="5"/>
  <c r="AH23" i="4"/>
  <c r="H27" i="5"/>
  <c r="AH26" i="4"/>
  <c r="Z20" i="4"/>
  <c r="AC20" i="4"/>
  <c r="AE29" i="4"/>
  <c r="P12" i="5" s="1"/>
  <c r="AB17" i="4"/>
  <c r="AE5" i="4"/>
  <c r="AH5" i="4" s="1"/>
  <c r="AE8" i="4"/>
  <c r="P5" i="5" s="1"/>
  <c r="Z17" i="4"/>
  <c r="R11" i="4"/>
  <c r="S17" i="4"/>
  <c r="W8" i="4"/>
  <c r="W5" i="4"/>
  <c r="I4" i="5" s="1"/>
  <c r="W20" i="4"/>
  <c r="I9" i="5" s="1"/>
  <c r="W23" i="4"/>
  <c r="I10" i="5" s="1"/>
  <c r="U26" i="4"/>
  <c r="S26" i="4"/>
  <c r="R26" i="4"/>
  <c r="V26" i="4"/>
  <c r="Q26" i="4"/>
  <c r="H33" i="5"/>
  <c r="H34" i="5"/>
  <c r="H29" i="5"/>
  <c r="H31" i="5"/>
  <c r="H35" i="5"/>
  <c r="H32" i="5"/>
  <c r="H28" i="5"/>
  <c r="H30" i="5"/>
  <c r="W17" i="4" l="1"/>
  <c r="AH8" i="4"/>
  <c r="P3" i="5"/>
  <c r="W11" i="4"/>
  <c r="AG23" i="4"/>
  <c r="AG5" i="4"/>
  <c r="AG17" i="4"/>
  <c r="I8" i="5"/>
  <c r="AG11" i="4"/>
  <c r="I6" i="5"/>
  <c r="AG20" i="4"/>
  <c r="AG8" i="4"/>
  <c r="I5" i="5"/>
  <c r="AE17" i="4"/>
  <c r="H16" i="5"/>
  <c r="AG29" i="4"/>
  <c r="I12" i="5"/>
  <c r="AE20" i="4"/>
  <c r="AH29" i="4"/>
  <c r="P4" i="5"/>
  <c r="I3" i="5"/>
  <c r="W26" i="4"/>
  <c r="AG26" i="4" l="1"/>
  <c r="I11" i="5"/>
  <c r="AH20" i="4"/>
  <c r="P9" i="5"/>
  <c r="AH17" i="4"/>
  <c r="P8" i="5"/>
  <c r="M23" i="5"/>
  <c r="N23" i="5"/>
  <c r="H22" i="5"/>
  <c r="H23" i="5"/>
  <c r="H24" i="5"/>
  <c r="H20" i="5"/>
  <c r="M21" i="5"/>
  <c r="N21" i="5"/>
  <c r="M17" i="5"/>
  <c r="N17" i="5"/>
  <c r="M19" i="5"/>
  <c r="N19" i="5"/>
  <c r="H19" i="5"/>
  <c r="M16" i="5"/>
  <c r="N16" i="5"/>
  <c r="H17" i="5"/>
  <c r="M22" i="5"/>
  <c r="N22" i="5"/>
  <c r="M20" i="5"/>
  <c r="N20" i="5"/>
  <c r="M18" i="5"/>
  <c r="N18" i="5"/>
  <c r="M24" i="5"/>
  <c r="N24" i="5"/>
  <c r="H21" i="5"/>
  <c r="H18" i="5"/>
  <c r="Q3" i="5" l="1" a="1"/>
  <c r="Q3" i="5" s="1"/>
  <c r="G2" i="3"/>
  <c r="D2" i="4" s="1"/>
  <c r="J3" i="5" s="1" a="1"/>
  <c r="J3" i="5" s="1"/>
  <c r="B3" i="5" a="1"/>
  <c r="B3" i="5" s="1"/>
  <c r="G3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<sst xmlns="http://schemas.openxmlformats.org/spreadsheetml/2006/main" count="227" uniqueCount="146">
  <si>
    <t>ID</t>
  </si>
  <si>
    <t>Panel, XX, Case 1</t>
  </si>
  <si>
    <t>Panel, XX, Case 2</t>
  </si>
  <si>
    <t>Panel, XY, Case 1</t>
  </si>
  <si>
    <t>Panel, XY, Case 2</t>
  </si>
  <si>
    <t>Panel, YY, Case 1</t>
  </si>
  <si>
    <t>Panel, YY, Case 2</t>
  </si>
  <si>
    <t>Stringer, 1D, Case 1</t>
  </si>
  <si>
    <t>Stringer, 1D, Case 2</t>
  </si>
  <si>
    <t>Ultimate Strength</t>
  </si>
  <si>
    <t>Van Mises Panel, Case 1</t>
  </si>
  <si>
    <t>Van Mises Panel, Case 2</t>
  </si>
  <si>
    <t>Axial Stringer, Case 1</t>
  </si>
  <si>
    <t>Axial Stringer, Case 2</t>
  </si>
  <si>
    <t>RF Strength, Loadcase 1</t>
  </si>
  <si>
    <t>RF Strength, Loadcase 2</t>
  </si>
  <si>
    <t>Volume</t>
  </si>
  <si>
    <t>Element ID</t>
  </si>
  <si>
    <t>Combined Volume</t>
  </si>
  <si>
    <t>Panel ID</t>
  </si>
  <si>
    <t xml:space="preserve"> XX, Case 1, Average</t>
  </si>
  <si>
    <t xml:space="preserve"> XY, Case 1, Average</t>
  </si>
  <si>
    <t xml:space="preserve"> YY, Case 1, Average</t>
  </si>
  <si>
    <t xml:space="preserve"> XX, Case 2, Average</t>
  </si>
  <si>
    <t xml:space="preserve"> XY, Case 2, Average</t>
  </si>
  <si>
    <t xml:space="preserve"> YY, Case 2, Average</t>
  </si>
  <si>
    <t>Main Compression, Case 1, sigma_x,c</t>
  </si>
  <si>
    <t>Secondary Compression, Case 1, sigma_y,c</t>
  </si>
  <si>
    <t>Main Compression, Case 2, sigma_x,c</t>
  </si>
  <si>
    <t>Secondary Compression, Case 2, sigma_y,c</t>
  </si>
  <si>
    <t>Sigma, Case1</t>
  </si>
  <si>
    <t>Sigma, Case2</t>
  </si>
  <si>
    <t>E_b</t>
  </si>
  <si>
    <t xml:space="preserve">muh </t>
  </si>
  <si>
    <t>a</t>
  </si>
  <si>
    <t>b</t>
  </si>
  <si>
    <t>t</t>
  </si>
  <si>
    <t xml:space="preserve">alpha </t>
  </si>
  <si>
    <t>sigma_e</t>
  </si>
  <si>
    <t>find out k_biax</t>
  </si>
  <si>
    <t>m</t>
  </si>
  <si>
    <t>k_biax_i, case 1</t>
  </si>
  <si>
    <t>k_biax_min, case1</t>
  </si>
  <si>
    <t>k_biax_i, case 2</t>
  </si>
  <si>
    <t>k_biax_min, case2</t>
  </si>
  <si>
    <t>sigma_cr,biax, case1</t>
  </si>
  <si>
    <t>sigma_cr,biax, case2</t>
  </si>
  <si>
    <t>RF,biax,case1</t>
  </si>
  <si>
    <t>RF,biax,case2</t>
  </si>
  <si>
    <t>Case 1</t>
  </si>
  <si>
    <t>Case 2</t>
  </si>
  <si>
    <t>RF_Strength</t>
  </si>
  <si>
    <t>k_tau</t>
  </si>
  <si>
    <t>tau_cr</t>
  </si>
  <si>
    <t>RF,shear,case1</t>
  </si>
  <si>
    <t>RF,shear,case2</t>
  </si>
  <si>
    <t>RF_panel,case1</t>
  </si>
  <si>
    <t>RF_panel,case2</t>
  </si>
  <si>
    <t>case1</t>
  </si>
  <si>
    <t>case2</t>
  </si>
  <si>
    <t>Stability Analysis - Panel Buckling</t>
  </si>
  <si>
    <t>Stability Analysis - Column Buckling</t>
  </si>
  <si>
    <t>T-section</t>
  </si>
  <si>
    <t>Number</t>
  </si>
  <si>
    <t>Omega-Section</t>
  </si>
  <si>
    <t>DIM1</t>
  </si>
  <si>
    <t>DIM2</t>
  </si>
  <si>
    <t>DIM3</t>
  </si>
  <si>
    <t>DIM4</t>
  </si>
  <si>
    <t>t1</t>
  </si>
  <si>
    <t>t2</t>
  </si>
  <si>
    <t>a_1</t>
  </si>
  <si>
    <t>Yield</t>
  </si>
  <si>
    <t>K</t>
  </si>
  <si>
    <t>E</t>
  </si>
  <si>
    <t>a_2</t>
  </si>
  <si>
    <t>r</t>
  </si>
  <si>
    <t>x1</t>
  </si>
  <si>
    <t>x2</t>
  </si>
  <si>
    <t>a1</t>
  </si>
  <si>
    <t>a2</t>
  </si>
  <si>
    <t>sigma_crip,1</t>
  </si>
  <si>
    <t>&lt;- as a2 is smaller than 0.4 sigma_crip = sigma_yield</t>
  </si>
  <si>
    <t>sigma_crip,2</t>
  </si>
  <si>
    <t>sigma_cutoff</t>
  </si>
  <si>
    <t>Calculating Crossection properties</t>
  </si>
  <si>
    <t>w_eff</t>
  </si>
  <si>
    <t>t_thickness_skin</t>
  </si>
  <si>
    <t>z_EC</t>
  </si>
  <si>
    <t>z_EC_Zaehler</t>
  </si>
  <si>
    <t>Omega-section</t>
  </si>
  <si>
    <t xml:space="preserve">Iy,1 </t>
  </si>
  <si>
    <t>Iy,2</t>
  </si>
  <si>
    <t>Iy,3</t>
  </si>
  <si>
    <t>Iy,ges</t>
  </si>
  <si>
    <t>Iy,1</t>
  </si>
  <si>
    <t>Iy,0</t>
  </si>
  <si>
    <t>Total Area</t>
  </si>
  <si>
    <t>L</t>
  </si>
  <si>
    <t>lamda</t>
  </si>
  <si>
    <t>c</t>
  </si>
  <si>
    <t>lamda_crit</t>
  </si>
  <si>
    <t>wha t is important crtical sigma or crip wat to enter, crit is for RF right but crip is used to determine crit right?</t>
  </si>
  <si>
    <t>Stringer ID</t>
  </si>
  <si>
    <t>Axial Stress</t>
  </si>
  <si>
    <t>RF</t>
  </si>
  <si>
    <t xml:space="preserve">case 1 </t>
  </si>
  <si>
    <t>case 2</t>
  </si>
  <si>
    <t>sigma_crit</t>
  </si>
  <si>
    <t>Euler-Johnson or Euler</t>
  </si>
  <si>
    <t xml:space="preserve">load case 1 </t>
  </si>
  <si>
    <t>load case 2</t>
  </si>
  <si>
    <t>Berechnung volumen gemittelter Wert zusammen mit Skin</t>
  </si>
  <si>
    <t>volume</t>
  </si>
  <si>
    <t xml:space="preserve">stringer axial, case1 </t>
  </si>
  <si>
    <t>stringer axial, case2</t>
  </si>
  <si>
    <t>a_1_2</t>
  </si>
  <si>
    <t>a_1_1</t>
  </si>
  <si>
    <t>b_1_1</t>
  </si>
  <si>
    <t>b_1_2</t>
  </si>
  <si>
    <t>x_1</t>
  </si>
  <si>
    <t>x_2</t>
  </si>
  <si>
    <t>sigma_avg</t>
  </si>
  <si>
    <t>b1_omega_twoconnected</t>
  </si>
  <si>
    <t>b2_omega_twoconnected</t>
  </si>
  <si>
    <t>b1_omega_flange</t>
  </si>
  <si>
    <t>a_flange</t>
  </si>
  <si>
    <t>K_flange</t>
  </si>
  <si>
    <t>K_two_connected</t>
  </si>
  <si>
    <t>Volume skin</t>
  </si>
  <si>
    <t>Area T_stringer</t>
  </si>
  <si>
    <t>Volume T-stringer</t>
  </si>
  <si>
    <t>Area Omega-Stringer</t>
  </si>
  <si>
    <t>x3</t>
  </si>
  <si>
    <t>a3</t>
  </si>
  <si>
    <t>xx,case1</t>
  </si>
  <si>
    <t>xx,case2</t>
  </si>
  <si>
    <t>sigma_crip / cutoff</t>
  </si>
  <si>
    <t>E-b-basis</t>
  </si>
  <si>
    <t>linear Euler</t>
  </si>
  <si>
    <t>sigma_critical</t>
  </si>
  <si>
    <t>Mass_computed</t>
  </si>
  <si>
    <t>Density</t>
  </si>
  <si>
    <t>Mass</t>
  </si>
  <si>
    <t>kg</t>
  </si>
  <si>
    <t>Mass_high_precision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</si>
</sst>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0000000000"/>
    <numFmt numFmtId="166" formatCode="0.000"/>
    <numFmt numFmtId="167" formatCode="0.00000000E+00"/>
    <numFmt numFmtId="168" formatCode="0.00000000000000E+00"/>
  </numFmts>
  <fonts count="10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3"/>
      <color theme="1"/>
      <name val="Helvetica Neue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D9EAF7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4" fillId="7" borderId="1" applyNumberFormat="0" applyFont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1" fillId="2" borderId="0" xfId="1"/>
    <xf numFmtId="0" fontId="3" fillId="3" borderId="0" xfId="0" applyFont="1" applyFill="1" applyAlignment="1">
      <alignment horizontal="center"/>
    </xf>
    <xf numFmtId="0" fontId="5" fillId="5" borderId="0" xfId="2"/>
    <xf numFmtId="0" fontId="6" fillId="6" borderId="0" xfId="3"/>
    <xf numFmtId="0" fontId="0" fillId="0" borderId="0" xfId="0" applyAlignment="1">
      <alignment horizontal="center" vertical="center"/>
    </xf>
    <xf numFmtId="0" fontId="0" fillId="8" borderId="0" xfId="0" applyFill="1"/>
    <xf numFmtId="0" fontId="5" fillId="5" borderId="0" xfId="2" applyAlignment="1">
      <alignment horizontal="center"/>
    </xf>
    <xf numFmtId="0" fontId="7" fillId="7" borderId="1" xfId="4" applyFont="1" applyAlignment="1">
      <alignment horizontal="center"/>
    </xf>
    <xf numFmtId="0" fontId="8" fillId="0" borderId="0" xfId="0" applyFont="1"/>
    <xf numFmtId="0" fontId="2" fillId="3" borderId="0" xfId="0" applyFont="1" applyFill="1" applyAlignment="1">
      <alignment horizontal="center"/>
    </xf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11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9" borderId="0" xfId="0" applyFill="1"/>
    <xf numFmtId="0" fontId="8" fillId="9" borderId="0" xfId="0" applyFont="1" applyFill="1"/>
    <xf numFmtId="0" fontId="0" fillId="0" borderId="0" xfId="0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5">
    <cellStyle name="Gut" xfId="2" builtinId="26"/>
    <cellStyle name="Neutral" xfId="1" builtinId="28"/>
    <cellStyle name="Notiz" xfId="4" builtinId="10"/>
    <cellStyle name="Schlecht" xfId="3" builtinId="27"/>
    <cellStyle name="Standard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customXml" Target="../ink/ink5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image" Target="../media/image8.png"/><Relationship Id="rId2" Type="http://schemas.openxmlformats.org/officeDocument/2006/relationships/image" Target="../media/image2.png"/><Relationship Id="rId16" Type="http://schemas.openxmlformats.org/officeDocument/2006/relationships/image" Target="../media/image10.png"/><Relationship Id="rId1" Type="http://schemas.openxmlformats.org/officeDocument/2006/relationships/image" Target="../media/image1.png"/><Relationship Id="rId6" Type="http://schemas.openxmlformats.org/officeDocument/2006/relationships/customXml" Target="../ink/ink2.xml"/><Relationship Id="rId11" Type="http://schemas.openxmlformats.org/officeDocument/2006/relationships/customXml" Target="../ink/ink4.xml"/><Relationship Id="rId5" Type="http://schemas.openxmlformats.org/officeDocument/2006/relationships/image" Target="../media/image4.png"/><Relationship Id="rId15" Type="http://schemas.openxmlformats.org/officeDocument/2006/relationships/customXml" Target="../ink/ink6.xml"/><Relationship Id="rId10" Type="http://schemas.openxmlformats.org/officeDocument/2006/relationships/image" Target="../media/image7.png"/><Relationship Id="rId4" Type="http://schemas.openxmlformats.org/officeDocument/2006/relationships/customXml" Target="../ink/ink1.xml"/><Relationship Id="rId9" Type="http://schemas.openxmlformats.org/officeDocument/2006/relationships/customXml" Target="../ink/ink3.xml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152400</xdr:rowOff>
    </xdr:from>
    <xdr:to>
      <xdr:col>3</xdr:col>
      <xdr:colOff>538205</xdr:colOff>
      <xdr:row>28</xdr:row>
      <xdr:rowOff>178096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E7F6B-5D7A-554B-9091-C06E310D0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0"/>
          <a:ext cx="4544935" cy="4292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687660</xdr:colOff>
      <xdr:row>8</xdr:row>
      <xdr:rowOff>28944</xdr:rowOff>
    </xdr:from>
    <xdr:to>
      <xdr:col>13</xdr:col>
      <xdr:colOff>162606</xdr:colOff>
      <xdr:row>28</xdr:row>
      <xdr:rowOff>49536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B2A881-B4A1-7E47-89FF-6E7312C0A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5160" y="1667244"/>
          <a:ext cx="6078947" cy="408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72908</xdr:rowOff>
    </xdr:from>
    <xdr:to>
      <xdr:col>5</xdr:col>
      <xdr:colOff>410051</xdr:colOff>
      <xdr:row>51</xdr:row>
      <xdr:rowOff>9408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1DA4DF-052A-D0B4-D2AF-797ECAC85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1889"/>
          <a:ext cx="4525792" cy="4146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589900</xdr:colOff>
      <xdr:row>28</xdr:row>
      <xdr:rowOff>76199</xdr:rowOff>
    </xdr:from>
    <xdr:to>
      <xdr:col>14</xdr:col>
      <xdr:colOff>53033</xdr:colOff>
      <xdr:row>48</xdr:row>
      <xdr:rowOff>11140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0CBF99-0472-6808-256F-4E9A45A87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6216" y="5702076"/>
          <a:ext cx="6058221" cy="3956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736601</xdr:colOff>
      <xdr:row>5</xdr:row>
      <xdr:rowOff>76200</xdr:rowOff>
    </xdr:from>
    <xdr:to>
      <xdr:col>14</xdr:col>
      <xdr:colOff>345741</xdr:colOff>
      <xdr:row>18</xdr:row>
      <xdr:rowOff>127000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019CDE-E110-6C4D-AFDA-008D46192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1" y="1092200"/>
          <a:ext cx="2911140" cy="270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712960</xdr:colOff>
      <xdr:row>6</xdr:row>
      <xdr:rowOff>133580</xdr:rowOff>
    </xdr:from>
    <xdr:to>
      <xdr:col>14</xdr:col>
      <xdr:colOff>158840</xdr:colOff>
      <xdr:row>9</xdr:row>
      <xdr:rowOff>36260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3F18DE7-224D-95D2-094E-4C3EAFED0693}"/>
                </a:ext>
              </a:extLst>
            </xdr14:cNvPr>
            <xdr14:cNvContentPartPr/>
          </xdr14:nvContentPartPr>
          <xdr14:nvPr macro=""/>
          <xdr14:xfrm>
            <a:off x="8967960" y="1365480"/>
            <a:ext cx="2747880" cy="5122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3F18DE7-224D-95D2-094E-4C3EAFED069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961823" y="1359251"/>
              <a:ext cx="2760154" cy="5247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388980</xdr:colOff>
      <xdr:row>9</xdr:row>
      <xdr:rowOff>25100</xdr:rowOff>
    </xdr:from>
    <xdr:to>
      <xdr:col>10</xdr:col>
      <xdr:colOff>308320</xdr:colOff>
      <xdr:row>12</xdr:row>
      <xdr:rowOff>30380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D25A0466-530C-7E3E-8798-F56972477395}"/>
                </a:ext>
              </a:extLst>
            </xdr14:cNvPr>
            <xdr14:cNvContentPartPr/>
          </xdr14:nvContentPartPr>
          <xdr14:nvPr macro=""/>
          <xdr14:xfrm>
            <a:off x="7818480" y="1866600"/>
            <a:ext cx="744840" cy="6148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D25A0466-530C-7E3E-8798-F5697247739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812360" y="1860480"/>
              <a:ext cx="757080" cy="62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111403</xdr:colOff>
      <xdr:row>12</xdr:row>
      <xdr:rowOff>111403</xdr:rowOff>
    </xdr:from>
    <xdr:to>
      <xdr:col>24</xdr:col>
      <xdr:colOff>378773</xdr:colOff>
      <xdr:row>24</xdr:row>
      <xdr:rowOff>33322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9059A0A-4C5A-B741-8B51-EEA953DFD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6599122" y="2528859"/>
          <a:ext cx="3564913" cy="2328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790887</xdr:colOff>
      <xdr:row>11</xdr:row>
      <xdr:rowOff>48517</xdr:rowOff>
    </xdr:from>
    <xdr:to>
      <xdr:col>24</xdr:col>
      <xdr:colOff>445718</xdr:colOff>
      <xdr:row>14</xdr:row>
      <xdr:rowOff>59658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F4942884-4F4A-FCF8-4EDC-ED4B9405DC3B}"/>
                </a:ext>
              </a:extLst>
            </xdr14:cNvPr>
            <xdr14:cNvContentPartPr/>
          </xdr14:nvContentPartPr>
          <xdr14:nvPr macro=""/>
          <xdr14:xfrm>
            <a:off x="16454220" y="2265447"/>
            <a:ext cx="3776760" cy="6127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F4942884-4F4A-FCF8-4EDC-ED4B9405DC3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6448094" y="2259316"/>
              <a:ext cx="3789013" cy="6249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796657</xdr:colOff>
      <xdr:row>14</xdr:row>
      <xdr:rowOff>65091</xdr:rowOff>
    </xdr:from>
    <xdr:to>
      <xdr:col>26</xdr:col>
      <xdr:colOff>126724</xdr:colOff>
      <xdr:row>19</xdr:row>
      <xdr:rowOff>11060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03B395A7-CEF7-B50F-DB24-3181F4AA18AD}"/>
                </a:ext>
              </a:extLst>
            </xdr14:cNvPr>
            <xdr14:cNvContentPartPr/>
          </xdr14:nvContentPartPr>
          <xdr14:nvPr macro=""/>
          <xdr14:xfrm>
            <a:off x="20581920" y="2883600"/>
            <a:ext cx="978840" cy="9486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03B395A7-CEF7-B50F-DB24-3181F4AA18A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0575816" y="2877567"/>
              <a:ext cx="991049" cy="9606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680760</xdr:colOff>
      <xdr:row>14</xdr:row>
      <xdr:rowOff>135560</xdr:rowOff>
    </xdr:from>
    <xdr:to>
      <xdr:col>21</xdr:col>
      <xdr:colOff>496440</xdr:colOff>
      <xdr:row>19</xdr:row>
      <xdr:rowOff>67440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AE0F567B-A040-2E66-D33C-6E4BC663233F}"/>
                </a:ext>
              </a:extLst>
            </xdr14:cNvPr>
            <xdr14:cNvContentPartPr/>
          </xdr14:nvContentPartPr>
          <xdr14:nvPr macro=""/>
          <xdr14:xfrm>
            <a:off x="17139960" y="2990520"/>
            <a:ext cx="638640" cy="9478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AE0F567B-A040-2E66-D33C-6E4BC663233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7133867" y="2984400"/>
              <a:ext cx="650825" cy="9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751320</xdr:colOff>
      <xdr:row>18</xdr:row>
      <xdr:rowOff>640</xdr:rowOff>
    </xdr:from>
    <xdr:to>
      <xdr:col>22</xdr:col>
      <xdr:colOff>421920</xdr:colOff>
      <xdr:row>19</xdr:row>
      <xdr:rowOff>135480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8D611010-A0DE-1415-CEB7-85C365F712C0}"/>
                </a:ext>
              </a:extLst>
            </xdr14:cNvPr>
            <xdr14:cNvContentPartPr/>
          </xdr14:nvContentPartPr>
          <xdr14:nvPr macro=""/>
          <xdr14:xfrm>
            <a:off x="18033480" y="3668400"/>
            <a:ext cx="493560" cy="3380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8D611010-A0DE-1415-CEB7-85C365F712C0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8027360" y="3662280"/>
              <a:ext cx="505800" cy="350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2T19:16:13.15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87 357 24575,'0'15'0,"0"5"0,0 12 0,0 2 0,0-1 0,0 1 0,0 9 0,0-3 0,0-1 0,0-3 0,0-10 0,0 0 0,0-8 0,0-6 0,0 6 0,0 7 0,0 4 0,0 1 0,0-6 0,0-8 0,0-4 0,0-2 0,0 2 0,0 1 0,0-1 0,0 3 0,0-4 0,0 1 0,4 5 0,2 6 0,0 6 0,-2 13 0,-3 2 0,-1 2 0,0-8 0,0-9 0,0-4 0,0-7 0,0 1 0,2-10 0,4-6 0,2-3 0,4-4 0,-1 1 0,2 3 0,-1 0 0,2 0 0,0 0 0,-1 0 0,2 0 0,0 0 0,-1 0 0,0 0 0,1 0 0,0 0 0,-1 0 0,6 0 0,8 0 0,0 0 0,3 0 0,2 0 0,1 0 0,-1 0 0,0 0 0,-5 0 0,0 0 0,5 0 0,2 0 0,5 0 0,5 0 0,9 0 0,12 0 0,0 0 0,-1 0 0,-4 0 0,-9 0 0,-3 0 0,-12 0 0,-9 0 0,-6 0 0,-5 0 0,-2 0 0,-2 0 0,7 0 0,14 0 0,16 0 0,18 0 0,16 0 0,-4-2 0,6-3 0,-3-2 0,-4 2 0,5 3 0,-12 1 0,-8 1 0,-12-1 0,-8 1 0,-7 0 0,-6 0 0,-9 0 0,-5 0 0,-2 0 0,5-1 0,14 1 0,15 0 0,29 0 0,10-5 0,0-1 0,-3 0 0,-10 1 0,-8 0 0,-12 0 0,-13 1 0,-6 0 0,-3 4 0,8 0 0,6 0 0,8 0 0,8 0 0,3 0 0,9 0 0,-1 0 0,2 0 0,1 0 0,-8 0 0,-1 0 0,-8 0 0,-14 0 0,-4 0 0,-14 0 0,-6 0 0,-1 0 0,-2 0 0,16 0 0,8 0 0,14 0 0,6 0 0,4 0 0,9 0 0,3 0 0,-2 0 0,-5 0 0,-11 0 0,-14 0 0,-13 0 0,-10 0 0,-7 0 0,0 0 0,-3 0 0,14 0 0,7 0 0,25 0 0,17 0 0,12 0-382,-35 0 1,3 0 381,-2 0 0,1 0 0,6 0 0,-2 0 0,-4 0 0,-2 0 0,36 0 0,-16 0 0,-23 0 0,-17 0 0,-10 0 0,-11 0 0,1 2 763,0 1-763,1 0 0,10 0 0,26 3 0,36 2 0,-29-5 0,3 1-717,8-2 0,5 1 717,7-2 0,0-1 0,3 1 0,-2-1 0,-2 0 0,-2 0 0,-9 0 0,-5 0 0,33 0 0,-33 0 0,-19 0 0,-17 0 0,-8 0 0,-5 0 1434,-4 0-1434,11 0 0,14 0 0,25 0 0,24 0 0,18 0-323,-47 0 1,-1 0 322,48 0 0,-21 0 0,-18 0 0,-15 0 0,-17 0 0,-9 0 0,-10-2 0,-4-3 645,-5-2-645,-4-5 0,0 2 0,0 0 0,0-1 0,-2 3 0,-2 1 0,-3-3 0,0-3 0,3-6 0,-4-4 0,2-5 0,-3-4 0,-1-3 0,4-9 0,-3-1 0,3-6 0,1-1 0,-3 8 0,1 8 0,1 9 0,2 3 0,4-1 0,0-4 0,0 3 0,0 2 0,0-1 0,0-5 0,0-3 0,0 1 0,0 2 0,0 4 0,0 1 0,0-5 0,0 4 0,0 1 0,0 6 0,0 6 0,0-1 0,0 3 0,-2 3 0,-3 1 0,-3 5 0,-9 2 0,-4 0 0,-11 0 0,-14 0 0,-14 0 0,-30 0 0,37 0 0,-5 0-581,-10-3 0,0 0 581,-6 0 0,0-1 0,-1-4 0,-2 1-794,-4-1 0,-2 0 794,4 1 0,1-2 0,3 2 0,6 0-300,3 2 1,3 0 299,9 2 0,3 0-123,-43 1 123,-4 2 0,8-1 0,0 1 0,2 0 0,2 0 0,-11 0-47,37 0 1,-2 0 46,-8 0 0,3 0 0,4 0 0,1 0 0,5 0 0,4 0 1515,-35 0-1515,17-3 0,-15-1 0,-2 1 0,1-6 0,-3 3 0,16-5 644,4 0-644,10 1 139,9-4-139,-8 3 1267,-4-1-1267,-8-2 0,-3 2 0,11 1 0,-4 1 0,-9 4 0,2-1 0,-14-5 0,1 5 0,8 0 0,1 1 0,24 6 0,12 0 0,10 0 0,-9 0 0,-6 0 0,-8 0 0,-7 0 0,1-3 0,-4-3 0,-10 2 0,-5 0-705,22 3 1,-4 1 704,-3 0 0,-1 0 0,0-1 0,-1 1-366,-4 0 1,3 0 365,14 0 0,2 0 0,-52 0 0,24 0 0,20 0 0,17 0 1355,13 0-1355,10-1 785,1 1-785,-8 0 0,-6 0 0,-15 0 0,-9 0 0,-16 0 0,-21 0-524,38 0 0,-3 0 524,-3 0 0,0 0 0,3 0 0,2 0-21,-48 0 21,28 0 0,12 0 0,17 0 0,16 0 0,9 0 1047,5 0-1047,-5 0 22,-15 0-22,-15 0 0,-5 0 0,2 4 0,12 1 0,14 3 0,1-1 0,6-4 0,0-1 0,0-1 0,-1 3 0,-13 5 0,-13 6 0,-16 6 0,-8 2 0,6 1 0,10 3 0,9-3 0,13-4 0,9-8 0,7-5 0,9-2 0,1-3 0,7 1 0,1-2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2T19:16:17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2151 46 24575,'-11'0'0,"-9"0"0,-19 0 0,-31 0 0,-23 0 0,31 0 0,-5 0 0,-3 0 0,-1 0 0,8 0 0,4 0 0,-41 0 0,49 0 0,19 0 0,1 0 0,-2 0 0,-2 0 0,-4 0 0,-9 0 0,-9 0 0,-14 0 0,-1 0 0,-4 0 0,7 0 0,9 0 0,9 0 0,9 0 0,3 0 0,11-3 0,6 0 0,5-1 0,-3 1 0,-2-1 0,-4 1 0,-6-1 0,-9 1 0,-8 2 0,0 1 0,3-3 0,8-2 0,-3 0 0,6 0 0,5 5 0,6 0 0,6 0 0,2 0 0,1 0 0,1 0 0,2 0 0,-1 0 0,6 0 0,2 0 0</inkml:trace>
  <inkml:trace contextRef="#ctx0" brushRef="#br0" timeOffset="1216">886 33 24575,'5'2'0,"-1"8"0,-1 18 0,-3 18 0,0 14 0,0 10 0,0-1 0,0-1 0,0 1 0,0 10 0,0-6 0,0-1 0,0-7 0,0-11 0,0-1 0,-5 3 0,-1 3 0,-1-3 0,2 7 0,0-10 0,0 3 0,-1-1 0,1-7 0,5-8 0,-1-12 0,1-9 0,0-3 0,0-4 0,0-4 0,0-2 0</inkml:trace>
  <inkml:trace contextRef="#ctx0" brushRef="#br0" timeOffset="2946">641 1191 24575,'0'10'0,"0"-1"0,0 2 0,0 0 0,0 0 0,0 1 0,0 5 0,0-2 0,0 1 0,0 2 0,2-7 0,3 2 0,1-2 0,0-2 0,-2-2 0,2 0 0,-2 2 0,3 1 0,0-2 0,0 6 0,4 4 0,1 3 0,3 5 0,1 2 0,-3-2 0,-1 1 0,-3-6 0,-2 0 0,0-7 0,-2 1 0,2-5 0,-1-2 0,3-4 0,3-4 0,-4-5 0,-1-6 0,1-2 0,1-8 0,0-1 0,-3-2 0,2 0 0,3-3 0,1 2 0,1 0 0,0-4 0,-2 1 0,9-9 0,10-1 0,3 1 0,2-2 0,-3 7 0,-3 1 0,0-1 0,-5 4 0,-2 8 0,-6 4 0,-2 6 0,-4 2 0,-2 0 0,-4 3 0,-1 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2T19:22:25.5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104 792 24575,'0'11'0,"0"14"0,0 8 0,0 3 0,0-6 0,0 3 0,0 6 0,0 14 0,0 13 0,0 2 0,0-4 0,0-9 0,0-16 0,0-5 0,0-7 0,0-6 0,0-6 0,0-5 0,0-2 0,0 0 0,0 2 0,0 1 0,0 0 0,4-2 0,-1 2 0,0 0 0,0-1 0,-3-1 0,0 1 0,0-1 0,0 2 0,0-1 0,0-1 0,0-1 0,0 0 0,0 3 0,1-2 0,3-3 0,4-1 0,1-3 0,2-2 0,-1 0 0,2 0 0,0 0 0,0 0 0,-1 0 0,6 0 0,2 0 0,4 0 0,-1 0 0,-6 0 0,4 0 0,-3 0 0,4 0 0,2 0 0,-4 0 0,0 0 0,-7 0 0,6 0 0,1 0 0,-1 0 0,-1-3 0,-3 0 0,1 0 0,-3 1 0,1 2 0,-1-3 0,6 0 0,5-1 0,6-3 0,5 2 0,0 2 0,1-1 0,-5 4 0,-3-2 0,-3 0 0,-3-1 0,3 1 0,-1 1 0,0 0 0,2 1 0,-1-3 0,9 0 0,5-2 0,4 2 0,5 2 0,-2 0 0,5-3 0,0-2 0,1 1 0,2 0 0,-9 5 0,-4-1 0,-4 1 0,-3 0 0,8 0 0,3 0 0,-2 0 0,0 0 0,-7 0 0,8 0 0,2 0 0,1 0 0,-4 0 0,-4 0 0,-3 0 0,-2 0 0,-4 0 0,0 0 0,2 0 0,3 0 0,0 0 0,0 0 0,2 0 0,-6 0 0,-1 0 0,0 0 0,1 0 0,5 4 0,15 0 0,9 0 0,20 0 0,5-4 0,-2 0 0,8 0-1063,15 0 1063,-48 0 0,1 0 0,3 0 0,-1 0 0,4 0 0,1 0 0,-4 0 0,2 0 0,3 0 0,0 0 0,4 0 0,3 0-839,5 0 1,0 0 838,10 0 0,-2 0 0,7 0 0,0 0 0,1 0 0,2 0-1014,-1 0 0,0 0 1014,1 0 0,-2 0 0,-9 0 0,-3 0-527,0 0 1,-4 0 526,-7 0 0,-6 0 298,-8 0 0,0 0-298,40 0 0,-22 0 0,0 0 0,0 0 0,-6 0 1442,-2 0-1442,-10 0 2155,0 0-2155,8 0 1354,2-4-1354,-7 0 274,-1-2-274,1 1 0,-2 4 0,8 1 0,0-1 0,0 1 0,2 0 0,-8 0 0,-1 0 0,0 0 0,-7 0 0,7 0 0,-2 0 0,-5-1 0,4 1 0,-5 0 0,-2 0 0,1 0 0,0 0 0,13 0 0,11 0 0,17 0-670,12 0 670,-50 0 0,-1 0 0,3 0 0,-1 0 0,45 0-142,-7 0 142,-19 0 0,-17 0 0,-12 0 0,-18 0 0,-6 0 666,-5 0-666,-3 0 146,6 0-146,12 0 0,24 0 0,24 0 0,17 0 0,3 0 0,-14 0 0,-20 0 0,-11 0 0,-14 0 0,-10 0 0,-2 0 0,-12 0 0,1 0 0,-3 0 0,3 0 0,6 0 0,20 0 0,16 0 0,17 0 0,11 0 0,1 0 0,1 0 0,-9 0 0,-4 0 0,-7 0 0,-8 0 0,-11 0 0,-13 0 0,-13 0 0,-6 0 0,-6 0 0,0 0 0,-1 0 0,3 0 0,7 0 0,14 0 0,15 0 0,20 0 0,12 0 0,7 0 0,6 0 0,-13 0 0,-15 0 0,-14 0 0,-20 0 0,-7 0 0,-5 0 0,-2 0 0,-7 0 0,1 0 0,4 0 0,9 0 0,12 0 0,7 0 0,2 0 0,-2 0 0,-6 0 0,-6 0 0,-6 0 0,-6 0 0,-4 0 0,-5-1 0,-3-3 0,-5-2 0,-2-8 0,-1-6 0,0-7 0,0-1 0,0-6 0,0 2 0,0-2 0,0-10 0,0-5 0,0-5 0,0-8 0,0 4 0,0-11 0,0-12 0,0 0 0,0-7 0,0 10 0,0 7 0,0 2 0,0 15 0,0 0 0,0 2 0,0 2 0,0 2 0,0 10 0,0 12 0,0 2 0,0 1 0,0-2 0,0 4 0,0 3 0,0 5 0,0 1 0,0 5 0,0 5 0,-3 10 0,-5 13 0,-4 5 0,0-3 0,2-1 0,1-10 0,1 0 0,-1-1 0,0-1 0,1-3 0,-3-5 0,-1-2 0,1 0 0,0 0 0,1 0 0,-10 0 0,-14 0 0,-14 0 0,-41 0 0,-10 0-909,29 0 0,-7 0 909,-7 0 0,-4 0 0,2 3 0,-1-1 0,-12 0 0,1 2 0,13 0 0,2 0 0,4 2 0,1-1-440,10-1 1,-1 0 439,8 1 0,0-2 0,4 0 0,-1-1 0,-18-1 0,1-2-647,0 2 1,0-1 646,-4 0 0,-4 0 0,2 0 0,-4 0-1072,-5 0 0,-3 0 1072,24 0 0,-2 0 0,-1 0 0,-10 0 0,-1 0 0,-1 0 0,4 0 0,-3 0 0,3 0 0,-23 0 0,3 0-61,0 0 1,5 0 60,18 0 0,1 0 0,-10 0 0,3 0-110,6 0 0,2 0 110,5 0 0,0 0 0,3 0 0,-1 0 0,0 0 0,0 0 0,-4-2 0,-2-1 0,-9 0 0,-1-1-121,2-4 1,0 3 120,-4-2 0,-2 0-37,-10 3 1,-3 1 36,30 0 0,-1-2 0,0 1 0,-4 0 0,-5 0 0,3 1 0,2 1 0,0-1 0,5-1 22,-28-3 1,4 0-23,5 3 0,4 0 0,12 0 0,6-1 289,11 2 1,1-1-290,4 4 0,-1 0 0,-46-5 0,40 1 0,-4 0 0,3 1 0,1-1 0,1 0 0,2-1 0,-2 2 0,2 0 0,2-1 0,1 0 0,-2-1 0,1 0 0,-40-2 0,12 0 0,-6 3 0,-10 3 0,-5 0 225,40-2 1,-1-1-226,1 0 0,1-1 0,-8 2 0,0-3 0,-7 2 0,-1 0 0,3 0 0,0 1 0,-4 0 0,-1-2 0,6 0 0,0-2 0,8 0 0,4 1 2297,-39-3-2297,29 3 1758,26 4-1758,15-1 431,10 0-431,-10 0 0,-23 3 0,-16 0 1228,-5 0-1228,-9 0 0,8 0 0,-4 0 0,9 0 0,9 0 0,-7 0 0,4 0 0,3 0 0,9 0 0,18 0 0,4 0 0,4 0 0,7 0 0,2 0 0,3 0 0,-5 4 0,-14 0 0,-13 4 0,-12 2 0,1-1 0,11 2 0,10-4 0,8 2 0,1-1 0,4-2 0,6 0 0,6-3 0,1 2 0,2-1 0,0 0 0,5 1 0,2 1 0,2 3 0,0 1 0,0 1 0,0-1 0,0 1 0,0 1 0,0 0 0,0-1 0,2 1 0,1-1 0,1 2 0,2-2 0,-3 0 0,0-1 0,2 3 0,-1-3 0,-1 0 0,2 0 0,-2 0 0,0 3 0,0-3 0,-3 2 0,1 3 0,-1 6 0,0 5 0,0 0 0,0 1 0,3-1 0,1-2 0,2-2 0,-3 0 0,-2-3 0,-1-2 0,0-1 0,2-7 0,1 0 0,1-2 0,-2 1 0,-2 1 0,0 1 0,0 0 0,0 0 0,0 1 0,0 0 0,0 1 0,0-1 0,0 1 0,0-1 0,0 1 0,0 0 0,0 0 0,0-3 0,0 1 0,0-1 0,0 2 0,0-2 0,0 1 0,0-1 0,0-1 0,0 1 0,0 1 0,0 1 0,0-1 0,0-1 0,0 0 0,0 0 0,0-4 0,0-1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2T19:23:00.85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24575,'28'0'0,"53"0"0,-16 0 0,2 0 0,11 0 0,4 0 0,7 0 0,-1 0-980,-12 0 1,-5 0 979,-6 0 0,1 0 0,-8 0 0,-2 0 631,25 0-631,7 0 0,-6 0 0,-2 0 324,-7 0-324,-11 0 0,-8 0 0,9 0 1004,6 0-1004,-4 0 0,3 0 0,2 0 0,3 0 0,-1 0 0,-4 0 0,-9 0 0,0 0 0,1 0 0,-10 0 0,-12 0 0,-7 0 0,-1 0 0,-3 0 0,2 0 0,-3 0 0,-3 0 0,-4 0 0,-4 0 0,-2 0 0,0 0 0,-2 0 0,0 0 0,-1 0 0,-2 0 0,7 0 0,11 4 0,9 1 0,14 0 0,0-1 0,-7-3 0,-3-1 0,-13 0 0,-6 0 0,-1 0 0,-8 2 0,-4-2 0,-4 3 0</inkml:trace>
  <inkml:trace contextRef="#ctx0" brushRef="#br0" timeOffset="1012">1566 58 24575,'-4'4'0,"2"12"0,-1 9 0,3 14 0,0 10 0,0 5 0,0 8 0,0 6 0,0 5 0,0-24 0,0 2-380,0 7 0,0 0 380,0-2 0,0 0 0,0 3 0,0 3 0,0-6 0,0-2 0,0-1 0,0 1 0,0 5 0,0 1 0,0-3 0,0-3 0,0 30 0,0-10 0,0-28 0,0-16 0,0 1 0,0-4 760,0-3-760,0-2 0,0 6 0,0 10 0,0 9 0,0 4 0,0-4 0,0-9 0,0-5 0,0-7 0,0-9 0,0 0 0,0-5 0,0-6 0,0 0 0</inkml:trace>
  <inkml:trace contextRef="#ctx0" brushRef="#br0" timeOffset="2808">1288 1531 24575,'-4'6'0,"1"5"0,1 25 0,2 17 0,0 12 0,-4-2 0,-1-17 0,0-12 0,2-14 0,3-5 0,0-5 0,0-2 0,0 1 0,0 1 0,0-1 0,0 3 0,0-2 0,0 0 0,0-2 0,0 3 0,3 3 0,6 12 0,7 15 0,4 2 0,-3-2 0,-2-5 0,1-8 0,1-1 0,-3-3 0,-6-6 0,-2-5 0,-3 0 0,1 1 0,1-6 0,1 1 0,-3-1 0,2-2 0,2 2 0,-1-1 0,5 7 0,-1 7 0,4 4 0,1 3 0,-3-5 0,-3-3 0,-3-6 0,-2 3 0,2-6 0,-1-4 0,0-5 0,0-6 0,-2-1 0,1-2 0,0-1 0,-1 1 0,-1-4 0,0 2 0,0-8 0,4-3 0,1-6 0,2-8 0,4-5 0,15-9 0,11-8 0,16-5 0,10-13 0,-9 4 0,-2 3 0,-9 10 0,-10 16 0,-7 6 0,-9 12 0,-8 7 0,-6 5 0,-2-1 0,-3 4 0,3 0 0,1 4 0,1-1 0,2 1 0,-3-2 0,-1-1 0,-1 3 0,-2-1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2T19:23:57.92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1 406 24575,'5'-5'0,"2"-1"0,5-7 0,2 1 0,3-1 0,0-1 0,-3 4 0,1-1 0,-3 3 0,-2 0 0,-1 3 0,-1-1 0,-2-1 0,2 2 0,-3-1 0,-1 2 0,0 0 0,1-1 0,-1-2 0,-2-3 0,2 4 0,-2-1 0,1 4 0,-1 5 0,-2 3 0,0 4 0,0 2 0,0-2 0,0 6 0,0 1 0,0-1 0,0 3 0,0-2 0,0-1 0,0 3 0,0-1 0,0-3 0,0-1 0,0-3 0,0-3 0,0 3 0,0 0 0,0 1 0,0-1 0,0 1 0,0-1 0,0 0 0,0 1 0,0 0 0,-3-1 0,1 1 0,-2-1 0,2 1 0,2-2 0,-1 2 0,1-3 0,0 3 0,-2-5 0,-1 0 0,-1 0 0,1 0 0,3-1 0,0 0 0</inkml:trace>
  <inkml:trace contextRef="#ctx0" brushRef="#br0" timeOffset="2258">869 0 24575,'0'27'0,"0"9"0,0 10 0,0 8 0,0 0 0,0 4 0,0 0 0,0-9 0,0-10 0,0-13 0,0-7 0,0-4 0,0-1 0,0-5 0,0-1 0,0 5 0,0 4 0,0 5 0,0 5 0,0 1 0,0 6 0,0-3 0,0 1 0,0-2 0,0-8 0,0-1 0,0-5 0,0-5 0,0 0 0,0-3 0,0 2 0,0-6 0,0-1 0</inkml:trace>
  <inkml:trace contextRef="#ctx0" brushRef="#br0" timeOffset="4196">1875 1791 24575,'0'17'0,"0"6"0,0 4 0,0 6 0,0-2 0,0-2 0,0 4 0,0-11 0,0-1 0,0-3 0,0 2 0,0 4 0,0 11 0,0 0 0,0 6 0,0 4 0,0-1 0,0-2 0,0-10 0,0-5 0,0-3 0,0-4 0,0-3 0,0-6 0,0 1 0,0-1 0,0-1 0,0-5 0,0-1 0</inkml:trace>
  <inkml:trace contextRef="#ctx0" brushRef="#br0" timeOffset="6430">1387 1052 24575,'-2'0'0,"1"2"0,4 1 0,1 2 0,1 0 0,0 1 0,-1-1 0,-1 2 0,-1 0 0,1 2 0,-1-1 0,-2 1 0,2-2 0,1 0 0,1 0 0,1-2 0,-2 0 0,2-1 0,2 1 0,-4 1 0,1-2 0,-1 3 0,-1-1 0,1-2 0,-2 5 0,-1 0 0,0 0 0,0-1 0,0 1 0,0 1 0,0-1 0,-3 2 0,-2-4 0,-5 1 0,2-1 0,1-1 0,0 3 0,-1 1 0,1-1 0,-2-1 0,1 4 0,-1-2 0,1 1 0,-2-2 0,1 6 0,-2 3 0,-1 2 0,-2 0 0,4-1 0,-1 0 0,1 3 0,-2 0 0,-2-2 0,0 6 0,-2 4 0,-1 2 0,2-2 0,1-7 0,2-5 0,4-4 0,1-1 0,4-4 0,-1 1 0,0 0 0,2-1 0,4-3 0,4-4 0,5-2 0,0 0 0,2-2 0,0-2 0,0-1 0,0-2 0,-2 1 0,4 1 0,6-4 0,1 1 0,4 0 0,-1 4 0,-1 2 0,2 0 0,-4-2 0,-4 1 0,-1 3 0,-4-1 0,-2 1 0,1 0 0,-1 0 0,1 0 0,-2 0 0,3 0 0,-4 0 0,1 0 0,-2 0 0,1 0 0,-4 0 0,-2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2T19:24:07.6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1460 0 24575,'0'32'0,"0"3"0,0 4 0,0 10 0,0 2 0,0 23 0,0 9 0,0-12 0,0 1 0,0-28 0,0-5 0,0-3 0,0-6 0,0-5 0,0-5 0,0-5 0,0-6 0,0 1 0,0-1 0,0 1 0,0-1 0,0 2 0,0-1 0,0 1 0,0 0 0,0-2 0,0 0 0,0-1 0,0-1 0,0 1 0,0 0 0,0 1 0,0-1 0,0 1 0,0 0 0,0-1 0,0 1 0,0-1 0,0-3 0,0-2 0</inkml:trace>
  <inkml:trace contextRef="#ctx0" brushRef="#br0" timeOffset="2349">146 376 24575,'14'0'0,"2"0"0,4 0 0,-1 0 0,-6 0 0,3 0 0,-3 0 0,1 0 0,-3 1 0,-1 4 0,-3 2 0,-2 3 0,-2 0 0,-3-1 0,0 2 0,0-1 0,0 0 0,0 1 0,0-1 0,0 0 0,0 0 0,0-2 0,0 1 0,0-1 0,0 1 0,0 1 0,-2-3 0,-4-2 0,-1-3 0,-4-2 0,0 0 0,0 0 0,-1 0 0,1 0 0,-1 0 0,1 0 0,0 0 0,3 0 0,-2 0 0,1 0 0,-2 0 0,0 0 0,1 0 0,-1 0 0,4 0 0,6 0 0,5 0 0,4 0 0,2 0 0,1 0 0,0 0 0,1 0 0,1 0 0,-1 0 0,-1 0 0,2 0 0,-1 1 0,4 2 0,1 0 0,0 1 0,0 0 0,-5-1 0,4 2 0,1-1 0,0 3 0,-1-1 0,-5-1 0,0 1 0,-1-2 0,-1 0 0,2 1 0,1 2 0,-3 0 0,0 1 0,-4 0 0,-1-1 0,-1 1 0,-2 1 0,-1 0 0,0 1 0,0 0 0,0 0 0,0-1 0,-3-3 0,1-1 0,-3-1 0,-6-1 0,-1 0 0,-4 0 0,0 0 0,3 0 0,-4 2 0,0-1 0,0 0 0,1 0 0,2-4 0,2 1 0,0-1 0,0 0 0,0 0 0,-4 0 0,-2 0 0,1 0 0,1 0 0,0 0 0,-1 0 0,0 0 0,2 0 0,4 0 0,1 0 0,0 0 0,-2 0 0,0 0 0,2 0 0,-2 0 0,1 0 0,0 0 0,0 0 0,0 0 0,1 0 0,3 0 0,3 0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4DF5-B8FC-1146-8312-5640F2A8ED89}">
  <dimension ref="A1:I65"/>
  <sheetViews>
    <sheetView zoomScale="55" zoomScaleNormal="55" workbookViewId="0">
      <selection activeCell="D2" sqref="D2"/>
    </sheetView>
  </sheetViews>
  <sheetFormatPr baseColWidth="10" defaultColWidth="8.796875" defaultRowHeight="15.6"/>
  <cols>
    <col min="1" max="1" width="10" customWidth="1"/>
    <col min="2" max="7" width="19" customWidth="1"/>
    <col min="8" max="9" width="22" customWidth="1"/>
  </cols>
  <sheetData>
    <row r="1" spans="1:9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>
      <c r="A2" s="1">
        <v>1</v>
      </c>
      <c r="B2">
        <v>22.834733963013001</v>
      </c>
      <c r="C2">
        <v>7.4184775352479999</v>
      </c>
      <c r="D2">
        <v>-35.701557159423999</v>
      </c>
      <c r="E2">
        <v>-154.15127563476599</v>
      </c>
      <c r="F2">
        <v>-66.018310546875</v>
      </c>
      <c r="G2">
        <v>-24.847452163696001</v>
      </c>
    </row>
    <row r="3" spans="1:9">
      <c r="A3" s="1">
        <v>2</v>
      </c>
      <c r="B3">
        <v>-81.947814941405994</v>
      </c>
      <c r="C3">
        <v>-26.965158462523998</v>
      </c>
      <c r="D3">
        <v>39.505409240722997</v>
      </c>
      <c r="E3">
        <v>155.99130249023401</v>
      </c>
      <c r="F3">
        <v>25.816717147826999</v>
      </c>
      <c r="G3">
        <v>8.4971561431880005</v>
      </c>
    </row>
    <row r="4" spans="1:9">
      <c r="A4" s="1">
        <v>3</v>
      </c>
      <c r="B4">
        <v>22.886993408203001</v>
      </c>
      <c r="C4">
        <v>7.623015403748</v>
      </c>
      <c r="D4">
        <v>-42.991550445557003</v>
      </c>
      <c r="E4">
        <v>-156.552978515625</v>
      </c>
      <c r="F4">
        <v>-64.292755126952997</v>
      </c>
      <c r="G4">
        <v>-18.027141571045</v>
      </c>
    </row>
    <row r="5" spans="1:9">
      <c r="A5" s="1">
        <v>4</v>
      </c>
      <c r="B5">
        <v>-92.85578918457</v>
      </c>
      <c r="C5">
        <v>-30.056518554688001</v>
      </c>
      <c r="D5">
        <v>41.965835571288999</v>
      </c>
      <c r="E5">
        <v>154.20666503906301</v>
      </c>
      <c r="F5">
        <v>21.546733856201001</v>
      </c>
      <c r="G5">
        <v>7.1095199584959996</v>
      </c>
    </row>
    <row r="6" spans="1:9">
      <c r="A6" s="1">
        <v>5</v>
      </c>
      <c r="B6">
        <v>28.454679489136002</v>
      </c>
      <c r="C6">
        <v>9.3662700653080009</v>
      </c>
      <c r="D6">
        <v>-39.514854431152003</v>
      </c>
      <c r="E6">
        <v>-156.02853393554699</v>
      </c>
      <c r="F6">
        <v>-88.390434265137003</v>
      </c>
      <c r="G6">
        <v>-29.084964752196999</v>
      </c>
    </row>
    <row r="7" spans="1:9">
      <c r="A7" s="1">
        <v>6</v>
      </c>
      <c r="B7">
        <v>-93.127639770507997</v>
      </c>
      <c r="C7">
        <v>-31.135932922363001</v>
      </c>
      <c r="D7">
        <v>35.617687225342003</v>
      </c>
      <c r="E7">
        <v>152.11721801757801</v>
      </c>
      <c r="F7">
        <v>21.537046432495</v>
      </c>
      <c r="G7">
        <v>7.0629749298100002</v>
      </c>
    </row>
    <row r="8" spans="1:9">
      <c r="A8" s="1">
        <v>7</v>
      </c>
      <c r="B8">
        <v>23.21996307373</v>
      </c>
      <c r="C8">
        <v>7.6221585273740002</v>
      </c>
      <c r="D8">
        <v>-38.289161682128999</v>
      </c>
      <c r="E8">
        <v>-153.47383117675801</v>
      </c>
      <c r="F8">
        <v>-93.246589660645</v>
      </c>
      <c r="G8">
        <v>-30.734117507935</v>
      </c>
    </row>
    <row r="9" spans="1:9">
      <c r="A9" s="1">
        <v>8</v>
      </c>
      <c r="B9">
        <v>-93.924247741699006</v>
      </c>
      <c r="C9">
        <v>-30.902780532836999</v>
      </c>
      <c r="D9">
        <v>39.562000274657997</v>
      </c>
      <c r="E9">
        <v>156.20216369628901</v>
      </c>
      <c r="F9">
        <v>25.08618927002</v>
      </c>
      <c r="G9">
        <v>8.2527046203609995</v>
      </c>
    </row>
    <row r="10" spans="1:9">
      <c r="A10" s="1">
        <v>9</v>
      </c>
      <c r="B10">
        <v>23.231916427611999</v>
      </c>
      <c r="C10">
        <v>7.6619820594789996</v>
      </c>
      <c r="D10">
        <v>-39.556228637695</v>
      </c>
      <c r="E10">
        <v>-153.890060424805</v>
      </c>
      <c r="F10">
        <v>-93.216247558594006</v>
      </c>
      <c r="G10">
        <v>-30.619136810303001</v>
      </c>
    </row>
    <row r="11" spans="1:9">
      <c r="A11" s="1">
        <v>10</v>
      </c>
      <c r="B11">
        <v>-93.187454223632997</v>
      </c>
      <c r="C11">
        <v>-30.662715911865</v>
      </c>
      <c r="D11">
        <v>40.711112976073998</v>
      </c>
      <c r="E11">
        <v>154.29840087890599</v>
      </c>
      <c r="F11">
        <v>23.774974822998001</v>
      </c>
      <c r="G11">
        <v>7.8372530937190001</v>
      </c>
    </row>
    <row r="12" spans="1:9">
      <c r="A12" s="1">
        <v>11</v>
      </c>
      <c r="B12">
        <v>-93.290771484375</v>
      </c>
      <c r="C12">
        <v>-30.694557189941001</v>
      </c>
      <c r="D12">
        <v>39.571174621582003</v>
      </c>
      <c r="E12">
        <v>156.23773193359401</v>
      </c>
      <c r="F12">
        <v>23.994319915771001</v>
      </c>
      <c r="G12">
        <v>7.8926596641540003</v>
      </c>
    </row>
    <row r="13" spans="1:9">
      <c r="A13" s="1">
        <v>12</v>
      </c>
      <c r="B13">
        <v>-93.187889099120994</v>
      </c>
      <c r="C13">
        <v>-30.663221359253001</v>
      </c>
      <c r="D13">
        <v>37.148136138916001</v>
      </c>
      <c r="E13">
        <v>153.12602233886699</v>
      </c>
      <c r="F13">
        <v>23.769666671753001</v>
      </c>
      <c r="G13">
        <v>7.8104858398439996</v>
      </c>
    </row>
    <row r="14" spans="1:9">
      <c r="A14" s="1">
        <v>13</v>
      </c>
      <c r="B14">
        <v>-92.89860534668</v>
      </c>
      <c r="C14">
        <v>-30.570362091063998</v>
      </c>
      <c r="D14">
        <v>37.408363342285</v>
      </c>
      <c r="E14">
        <v>153.20596313476599</v>
      </c>
      <c r="F14">
        <v>23.865222930908001</v>
      </c>
      <c r="G14">
        <v>7.8355255126949999</v>
      </c>
    </row>
    <row r="15" spans="1:9">
      <c r="A15" s="1">
        <v>14</v>
      </c>
      <c r="B15">
        <v>-92.66780090332</v>
      </c>
      <c r="C15">
        <v>-30.49027633667</v>
      </c>
      <c r="D15">
        <v>39.568599700927997</v>
      </c>
      <c r="E15">
        <v>156.230712890625</v>
      </c>
      <c r="F15">
        <v>23.797664642333999</v>
      </c>
      <c r="G15">
        <v>7.8298869133000002</v>
      </c>
    </row>
    <row r="16" spans="1:9">
      <c r="A16" s="1">
        <v>15</v>
      </c>
      <c r="B16">
        <v>23.875551223755</v>
      </c>
      <c r="C16">
        <v>7.8730072975159997</v>
      </c>
      <c r="D16">
        <v>-40.449775695801002</v>
      </c>
      <c r="E16">
        <v>-154.20730590820301</v>
      </c>
      <c r="F16">
        <v>-92.896926879882997</v>
      </c>
      <c r="G16">
        <v>-30.562330245971999</v>
      </c>
    </row>
    <row r="17" spans="1:7">
      <c r="A17" s="1">
        <v>16</v>
      </c>
      <c r="B17">
        <v>23.997764587401999</v>
      </c>
      <c r="C17">
        <v>7.9119353294370001</v>
      </c>
      <c r="D17">
        <v>-40.720504760742003</v>
      </c>
      <c r="E17">
        <v>-154.29669189453099</v>
      </c>
      <c r="F17">
        <v>-92.848167419434006</v>
      </c>
      <c r="G17">
        <v>-30.543684005736999</v>
      </c>
    </row>
    <row r="18" spans="1:7">
      <c r="A18" s="1">
        <v>17</v>
      </c>
      <c r="B18">
        <v>-92.417167663574006</v>
      </c>
      <c r="C18">
        <v>-30.408214569091999</v>
      </c>
      <c r="D18">
        <v>39.567245483397997</v>
      </c>
      <c r="E18">
        <v>156.22637939453099</v>
      </c>
      <c r="F18">
        <v>23.551570892333999</v>
      </c>
      <c r="G18">
        <v>7.7492947578429998</v>
      </c>
    </row>
    <row r="19" spans="1:7">
      <c r="A19" s="1">
        <v>18</v>
      </c>
      <c r="B19">
        <v>-92.851821899414006</v>
      </c>
      <c r="C19">
        <v>-30.557586669921999</v>
      </c>
      <c r="D19">
        <v>37.138275146483998</v>
      </c>
      <c r="E19">
        <v>153.11827087402301</v>
      </c>
      <c r="F19">
        <v>23.989063262938998</v>
      </c>
      <c r="G19">
        <v>7.8770065307620003</v>
      </c>
    </row>
    <row r="20" spans="1:7">
      <c r="A20" s="1">
        <v>19</v>
      </c>
      <c r="B20">
        <v>-93.09024810791</v>
      </c>
      <c r="C20">
        <v>-30.627334594726999</v>
      </c>
      <c r="D20">
        <v>37.504501342772997</v>
      </c>
      <c r="E20">
        <v>153.25506591796901</v>
      </c>
      <c r="F20">
        <v>24.308437347411999</v>
      </c>
      <c r="G20">
        <v>7.9795532226560004</v>
      </c>
    </row>
    <row r="21" spans="1:7">
      <c r="A21" s="1">
        <v>20</v>
      </c>
      <c r="B21">
        <v>-94.090843200684006</v>
      </c>
      <c r="C21">
        <v>-30.959253311156999</v>
      </c>
      <c r="D21">
        <v>39.566341400146001</v>
      </c>
      <c r="E21">
        <v>156.22354125976599</v>
      </c>
      <c r="F21">
        <v>22.911605834961001</v>
      </c>
      <c r="G21">
        <v>7.5387892723079997</v>
      </c>
    </row>
    <row r="22" spans="1:7">
      <c r="A22" s="1">
        <v>21</v>
      </c>
      <c r="B22">
        <v>24.318340301513999</v>
      </c>
      <c r="C22">
        <v>8.0197887420649998</v>
      </c>
      <c r="D22">
        <v>-40.363151550292997</v>
      </c>
      <c r="E22">
        <v>-154.19589233398401</v>
      </c>
      <c r="F22">
        <v>-93.092010498047003</v>
      </c>
      <c r="G22">
        <v>-30.632915496826001</v>
      </c>
    </row>
    <row r="23" spans="1:7">
      <c r="A23" s="1">
        <v>22</v>
      </c>
      <c r="B23">
        <v>-97.236404418945</v>
      </c>
      <c r="C23">
        <v>-31.964458465576001</v>
      </c>
      <c r="D23">
        <v>38.134857177733998</v>
      </c>
      <c r="E23">
        <v>153.99621582031301</v>
      </c>
      <c r="F23">
        <v>23.155075073241999</v>
      </c>
      <c r="G23">
        <v>7.6102762222290004</v>
      </c>
    </row>
    <row r="24" spans="1:7">
      <c r="A24" s="1">
        <v>23</v>
      </c>
      <c r="B24">
        <v>25.223943710326999</v>
      </c>
      <c r="C24">
        <v>8.2996406555179991</v>
      </c>
      <c r="D24">
        <v>-39.634246826172003</v>
      </c>
      <c r="E24">
        <v>-156.49165344238301</v>
      </c>
      <c r="F24">
        <v>-98.803512573242003</v>
      </c>
      <c r="G24">
        <v>-32.509944915771001</v>
      </c>
    </row>
    <row r="25" spans="1:7">
      <c r="A25" s="1">
        <v>24</v>
      </c>
      <c r="B25">
        <v>-97.252876281737997</v>
      </c>
      <c r="C25">
        <v>-32.028945922852003</v>
      </c>
      <c r="D25">
        <v>40.02758026123</v>
      </c>
      <c r="E25">
        <v>154.61917114257801</v>
      </c>
      <c r="F25">
        <v>23.159351348876999</v>
      </c>
      <c r="G25">
        <v>7.6283073425290002</v>
      </c>
    </row>
    <row r="26" spans="1:7">
      <c r="A26" s="1">
        <v>25</v>
      </c>
      <c r="B26">
        <v>-102.14304351806599</v>
      </c>
      <c r="C26">
        <v>-34.132274627686002</v>
      </c>
      <c r="D26">
        <v>35.547241210937997</v>
      </c>
      <c r="E26">
        <v>153.15267944335901</v>
      </c>
      <c r="F26">
        <v>20.29701423645</v>
      </c>
      <c r="G26">
        <v>6.6631793975829998</v>
      </c>
    </row>
    <row r="27" spans="1:7">
      <c r="A27" s="1">
        <v>26</v>
      </c>
      <c r="B27">
        <v>-95.446365356445</v>
      </c>
      <c r="C27">
        <v>-31.404977798461999</v>
      </c>
      <c r="D27">
        <v>39.685920715332003</v>
      </c>
      <c r="E27">
        <v>156.69552612304699</v>
      </c>
      <c r="F27">
        <v>30.936141967773001</v>
      </c>
      <c r="G27">
        <v>10.178909301758001</v>
      </c>
    </row>
    <row r="28" spans="1:7">
      <c r="A28" s="1">
        <v>27</v>
      </c>
      <c r="B28">
        <v>-101.853134155273</v>
      </c>
      <c r="C28">
        <v>-32.988941192627003</v>
      </c>
      <c r="D28">
        <v>42.619445800781001</v>
      </c>
      <c r="E28">
        <v>155.47952270507801</v>
      </c>
      <c r="F28">
        <v>20.305200576781999</v>
      </c>
      <c r="G28">
        <v>6.695992469788</v>
      </c>
    </row>
    <row r="29" spans="1:7">
      <c r="A29" s="1">
        <v>28</v>
      </c>
      <c r="B29">
        <v>22.244077682495</v>
      </c>
      <c r="C29">
        <v>7.4255881309509997</v>
      </c>
      <c r="D29">
        <v>-44.374069213867003</v>
      </c>
      <c r="E29">
        <v>-157.52438354492199</v>
      </c>
      <c r="F29">
        <v>-68.130546569824006</v>
      </c>
      <c r="G29">
        <v>-19.342180252075</v>
      </c>
    </row>
    <row r="30" spans="1:7">
      <c r="A30" s="1">
        <v>29</v>
      </c>
      <c r="B30">
        <v>-85.820915222167997</v>
      </c>
      <c r="C30">
        <v>-28.23770904541</v>
      </c>
      <c r="D30">
        <v>39.592140197753999</v>
      </c>
      <c r="E30">
        <v>156.32489013671901</v>
      </c>
      <c r="F30">
        <v>27.109111785888999</v>
      </c>
      <c r="G30">
        <v>8.9195547103880006</v>
      </c>
    </row>
    <row r="31" spans="1:7">
      <c r="A31" s="1">
        <v>30</v>
      </c>
      <c r="B31">
        <v>22.185270309448001</v>
      </c>
      <c r="C31">
        <v>7.1934490203859998</v>
      </c>
      <c r="D31">
        <v>-34.603393554687997</v>
      </c>
      <c r="E31">
        <v>-154.30953979492199</v>
      </c>
      <c r="F31">
        <v>-69.829635620117003</v>
      </c>
      <c r="G31">
        <v>-26.05110168457</v>
      </c>
    </row>
    <row r="32" spans="1:7">
      <c r="A32" s="1">
        <v>31</v>
      </c>
    </row>
    <row r="33" spans="1:9">
      <c r="A33" s="1">
        <v>32</v>
      </c>
    </row>
    <row r="34" spans="1:9">
      <c r="A34" s="1">
        <v>33</v>
      </c>
    </row>
    <row r="35" spans="1:9">
      <c r="A35" s="1">
        <v>34</v>
      </c>
    </row>
    <row r="36" spans="1:9">
      <c r="A36" s="1">
        <v>35</v>
      </c>
    </row>
    <row r="37" spans="1:9">
      <c r="A37" s="1">
        <v>36</v>
      </c>
    </row>
    <row r="38" spans="1:9">
      <c r="A38" s="1">
        <v>37</v>
      </c>
      <c r="H38">
        <v>-84.510917663574006</v>
      </c>
      <c r="I38">
        <v>-26.74822807312</v>
      </c>
    </row>
    <row r="39" spans="1:9">
      <c r="A39" s="1">
        <v>38</v>
      </c>
      <c r="H39">
        <v>-76.450065612792997</v>
      </c>
      <c r="I39">
        <v>-25.156949996948001</v>
      </c>
    </row>
    <row r="40" spans="1:9">
      <c r="A40" s="1">
        <v>39</v>
      </c>
      <c r="H40">
        <v>-85.092254638672003</v>
      </c>
      <c r="I40">
        <v>-29.045667648315</v>
      </c>
    </row>
    <row r="41" spans="1:9">
      <c r="A41" s="1">
        <v>40</v>
      </c>
      <c r="H41">
        <v>-85.122329711914006</v>
      </c>
      <c r="I41">
        <v>-28.03297996521</v>
      </c>
    </row>
    <row r="42" spans="1:9">
      <c r="A42" s="1">
        <v>41</v>
      </c>
      <c r="H42">
        <v>-88.499740600585994</v>
      </c>
      <c r="I42">
        <v>-29.122882843018001</v>
      </c>
    </row>
    <row r="43" spans="1:9">
      <c r="A43" s="1">
        <v>42</v>
      </c>
      <c r="H43">
        <v>-85.10782623291</v>
      </c>
      <c r="I43">
        <v>-27.97695350647</v>
      </c>
    </row>
    <row r="44" spans="1:9">
      <c r="A44" s="1">
        <v>43</v>
      </c>
      <c r="H44">
        <v>-73.137466430664006</v>
      </c>
      <c r="I44">
        <v>-24.112689971923999</v>
      </c>
    </row>
    <row r="45" spans="1:9">
      <c r="A45" s="1">
        <v>44</v>
      </c>
      <c r="H45">
        <v>-73.509140014647997</v>
      </c>
      <c r="I45">
        <v>-24.182792663573998</v>
      </c>
    </row>
    <row r="46" spans="1:9">
      <c r="A46" s="1">
        <v>45</v>
      </c>
      <c r="H46">
        <v>-73.11319732666</v>
      </c>
      <c r="I46">
        <v>-24.012451171875</v>
      </c>
    </row>
    <row r="47" spans="1:9">
      <c r="A47" s="1">
        <v>46</v>
      </c>
      <c r="H47">
        <v>-83.890106201172003</v>
      </c>
      <c r="I47">
        <v>-27.580795288086001</v>
      </c>
    </row>
    <row r="48" spans="1:9">
      <c r="A48" s="1">
        <v>47</v>
      </c>
      <c r="H48">
        <v>-84.565605163574006</v>
      </c>
      <c r="I48">
        <v>-27.824998855591002</v>
      </c>
    </row>
    <row r="49" spans="1:9">
      <c r="A49" s="1">
        <v>48</v>
      </c>
      <c r="H49">
        <v>-83.903129577637003</v>
      </c>
      <c r="I49">
        <v>-27.630136489868001</v>
      </c>
    </row>
    <row r="50" spans="1:9">
      <c r="A50" s="1">
        <v>49</v>
      </c>
      <c r="H50">
        <v>-73.250267028809006</v>
      </c>
      <c r="I50">
        <v>-24.097608566283998</v>
      </c>
    </row>
    <row r="51" spans="1:9">
      <c r="A51" s="1">
        <v>50</v>
      </c>
      <c r="H51">
        <v>-73.620880126952997</v>
      </c>
      <c r="I51">
        <v>-24.224504470825</v>
      </c>
    </row>
    <row r="52" spans="1:9">
      <c r="A52" s="1">
        <v>51</v>
      </c>
      <c r="H52">
        <v>-73.252998352050994</v>
      </c>
      <c r="I52">
        <v>-24.107849121093999</v>
      </c>
    </row>
    <row r="53" spans="1:9">
      <c r="A53" s="1">
        <v>52</v>
      </c>
      <c r="H53">
        <v>-83.816162109375</v>
      </c>
      <c r="I53">
        <v>-27.594072341918999</v>
      </c>
    </row>
    <row r="54" spans="1:9">
      <c r="A54" s="1">
        <v>53</v>
      </c>
      <c r="H54">
        <v>-84.017059326172003</v>
      </c>
      <c r="I54">
        <v>-27.644832611083999</v>
      </c>
    </row>
    <row r="55" spans="1:9">
      <c r="A55" s="1">
        <v>54</v>
      </c>
      <c r="H55">
        <v>-83.806495666504006</v>
      </c>
      <c r="I55">
        <v>-27.559341430663999</v>
      </c>
    </row>
    <row r="56" spans="1:9">
      <c r="A56" s="1">
        <v>55</v>
      </c>
      <c r="H56">
        <v>-72.410865783690994</v>
      </c>
      <c r="I56">
        <v>-23.74818611145</v>
      </c>
    </row>
    <row r="57" spans="1:9">
      <c r="A57" s="1">
        <v>56</v>
      </c>
      <c r="H57">
        <v>-72.49976348877</v>
      </c>
      <c r="I57">
        <v>-23.854387283325</v>
      </c>
    </row>
    <row r="58" spans="1:9">
      <c r="A58" s="1">
        <v>57</v>
      </c>
      <c r="H58">
        <v>-72.452705383300994</v>
      </c>
      <c r="I58">
        <v>-23.915967941283998</v>
      </c>
    </row>
    <row r="59" spans="1:9">
      <c r="A59" s="1">
        <v>58</v>
      </c>
      <c r="H59">
        <v>-72.377990722655994</v>
      </c>
      <c r="I59">
        <v>-23.768032073975</v>
      </c>
    </row>
    <row r="60" spans="1:9">
      <c r="A60" s="1">
        <v>59</v>
      </c>
      <c r="H60">
        <v>-75.352951049805</v>
      </c>
      <c r="I60">
        <v>-24.793008804321001</v>
      </c>
    </row>
    <row r="61" spans="1:9">
      <c r="A61" s="1">
        <v>60</v>
      </c>
      <c r="H61">
        <v>-72.404121398925994</v>
      </c>
      <c r="I61">
        <v>-23.86905670166</v>
      </c>
    </row>
    <row r="62" spans="1:9">
      <c r="A62" s="1">
        <v>61</v>
      </c>
      <c r="H62">
        <v>-69.960311889647997</v>
      </c>
      <c r="I62">
        <v>-24.005712509155</v>
      </c>
    </row>
    <row r="63" spans="1:9">
      <c r="A63" s="1">
        <v>62</v>
      </c>
      <c r="H63">
        <v>-62.794387817382997</v>
      </c>
      <c r="I63">
        <v>-20.661027908325</v>
      </c>
    </row>
    <row r="64" spans="1:9">
      <c r="A64" s="1">
        <v>63</v>
      </c>
      <c r="H64">
        <v>-69.415634155272997</v>
      </c>
      <c r="I64">
        <v>-21.853281021118001</v>
      </c>
    </row>
    <row r="65" spans="1:1">
      <c r="A65" s="1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06C0-1719-124F-BF03-0B7D16DB56E6}">
  <dimension ref="A1:I65"/>
  <sheetViews>
    <sheetView zoomScale="114" zoomScaleNormal="70" workbookViewId="0">
      <selection activeCell="B6" sqref="B6"/>
    </sheetView>
  </sheetViews>
  <sheetFormatPr baseColWidth="10" defaultColWidth="8.796875" defaultRowHeight="15.6"/>
  <cols>
    <col min="1" max="1" width="10" customWidth="1"/>
    <col min="2" max="7" width="19" customWidth="1"/>
    <col min="8" max="9" width="22" customWidth="1"/>
  </cols>
  <sheetData>
    <row r="1" spans="1:9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>
      <c r="A2" s="1">
        <v>1</v>
      </c>
      <c r="B2">
        <v>-20</v>
      </c>
      <c r="C2">
        <f>MIN(Import_UngaBunga!C2,Import_UngaBunga!G2)</f>
        <v>-24.847452163696001</v>
      </c>
      <c r="D2">
        <f>ABS(Import_UngaBunga!D2)</f>
        <v>35.701557159423999</v>
      </c>
      <c r="E2">
        <f>ABS(Import_UngaBunga!E2)</f>
        <v>154.15127563476599</v>
      </c>
      <c r="F2">
        <f>MAX(Import_UngaBunga!B2,Import_UngaBunga!F2)</f>
        <v>22.834733963013001</v>
      </c>
      <c r="G2">
        <f>MAX(Import_UngaBunga!C2,Import_UngaBunga!G2)</f>
        <v>7.4184775352479999</v>
      </c>
    </row>
    <row r="3" spans="1:9">
      <c r="A3" s="1">
        <v>2</v>
      </c>
      <c r="B3">
        <f>MIN(Import_UngaBunga!B3,Import_UngaBunga!F3)</f>
        <v>-81.947814941405994</v>
      </c>
      <c r="C3">
        <f>MIN(Import_UngaBunga!C3,Import_UngaBunga!G3)</f>
        <v>-26.965158462523998</v>
      </c>
      <c r="D3">
        <f>ABS(Import_UngaBunga!D3)</f>
        <v>39.505409240722997</v>
      </c>
      <c r="E3">
        <f>ABS(Import_UngaBunga!E3)</f>
        <v>155.99130249023401</v>
      </c>
      <c r="F3">
        <f>MAX(Import_UngaBunga!B3,Import_UngaBunga!F3)</f>
        <v>25.816717147826999</v>
      </c>
      <c r="G3">
        <f>MAX(Import_UngaBunga!C3,Import_UngaBunga!G3)</f>
        <v>8.4971561431880005</v>
      </c>
    </row>
    <row r="4" spans="1:9">
      <c r="A4" s="1">
        <v>3</v>
      </c>
      <c r="B4">
        <f>MIN(Import_UngaBunga!B4,Import_UngaBunga!F4)</f>
        <v>-64.292755126952997</v>
      </c>
      <c r="C4">
        <f>MIN(Import_UngaBunga!C4,Import_UngaBunga!G4)</f>
        <v>-18.027141571045</v>
      </c>
      <c r="D4">
        <f>ABS(Import_UngaBunga!D4)</f>
        <v>42.991550445557003</v>
      </c>
      <c r="E4">
        <f>ABS(Import_UngaBunga!E4)</f>
        <v>156.552978515625</v>
      </c>
      <c r="F4">
        <f>MAX(Import_UngaBunga!B4,Import_UngaBunga!F4)</f>
        <v>22.886993408203001</v>
      </c>
      <c r="G4">
        <f>MAX(Import_UngaBunga!C4,Import_UngaBunga!G4)</f>
        <v>7.623015403748</v>
      </c>
    </row>
    <row r="5" spans="1:9">
      <c r="A5" s="1">
        <v>4</v>
      </c>
      <c r="B5">
        <f>MIN(Import_UngaBunga!B5,Import_UngaBunga!F5)</f>
        <v>-92.85578918457</v>
      </c>
      <c r="C5">
        <f>MIN(Import_UngaBunga!C5,Import_UngaBunga!G5)</f>
        <v>-30.056518554688001</v>
      </c>
      <c r="D5">
        <f>ABS(Import_UngaBunga!D5)</f>
        <v>41.965835571288999</v>
      </c>
      <c r="E5">
        <f>ABS(Import_UngaBunga!E5)</f>
        <v>154.20666503906301</v>
      </c>
      <c r="F5">
        <f>MAX(Import_UngaBunga!B5,Import_UngaBunga!F5)</f>
        <v>21.546733856201001</v>
      </c>
      <c r="G5">
        <f>MAX(Import_UngaBunga!C5,Import_UngaBunga!G5)</f>
        <v>7.1095199584959996</v>
      </c>
    </row>
    <row r="6" spans="1:9">
      <c r="A6" s="1">
        <v>5</v>
      </c>
      <c r="B6">
        <f>MIN(Import_UngaBunga!B6,Import_UngaBunga!F6)</f>
        <v>-88.390434265137003</v>
      </c>
      <c r="C6">
        <f>MIN(Import_UngaBunga!C6,Import_UngaBunga!G6)</f>
        <v>-29.084964752196999</v>
      </c>
      <c r="D6">
        <f>ABS(Import_UngaBunga!D6)</f>
        <v>39.514854431152003</v>
      </c>
      <c r="E6">
        <f>ABS(Import_UngaBunga!E6)</f>
        <v>156.02853393554699</v>
      </c>
      <c r="F6">
        <f>MAX(Import_UngaBunga!B6,Import_UngaBunga!F6)</f>
        <v>28.454679489136002</v>
      </c>
      <c r="G6">
        <f>MAX(Import_UngaBunga!C6,Import_UngaBunga!G6)</f>
        <v>9.3662700653080009</v>
      </c>
    </row>
    <row r="7" spans="1:9">
      <c r="A7" s="1">
        <v>6</v>
      </c>
      <c r="B7">
        <f>MIN(Import_UngaBunga!B7,Import_UngaBunga!F7)</f>
        <v>-93.127639770507997</v>
      </c>
      <c r="C7">
        <f>MIN(Import_UngaBunga!C7,Import_UngaBunga!G7)</f>
        <v>-31.135932922363001</v>
      </c>
      <c r="D7">
        <f>ABS(Import_UngaBunga!D7)</f>
        <v>35.617687225342003</v>
      </c>
      <c r="E7">
        <f>ABS(Import_UngaBunga!E7)</f>
        <v>152.11721801757801</v>
      </c>
      <c r="F7">
        <f>MAX(Import_UngaBunga!B7,Import_UngaBunga!F7)</f>
        <v>21.537046432495</v>
      </c>
      <c r="G7">
        <f>MAX(Import_UngaBunga!C7,Import_UngaBunga!G7)</f>
        <v>7.0629749298100002</v>
      </c>
    </row>
    <row r="8" spans="1:9">
      <c r="A8" s="1">
        <v>7</v>
      </c>
      <c r="B8">
        <f>MIN(Import_UngaBunga!B8,Import_UngaBunga!F8)</f>
        <v>-93.246589660645</v>
      </c>
      <c r="C8">
        <f>MIN(Import_UngaBunga!C8,Import_UngaBunga!G8)</f>
        <v>-30.734117507935</v>
      </c>
      <c r="D8">
        <f>ABS(Import_UngaBunga!D8)</f>
        <v>38.289161682128999</v>
      </c>
      <c r="E8">
        <f>ABS(Import_UngaBunga!E8)</f>
        <v>153.47383117675801</v>
      </c>
      <c r="F8">
        <f>MAX(Import_UngaBunga!B8,Import_UngaBunga!F8)</f>
        <v>23.21996307373</v>
      </c>
      <c r="G8">
        <f>MAX(Import_UngaBunga!C8,Import_UngaBunga!G8)</f>
        <v>7.6221585273740002</v>
      </c>
    </row>
    <row r="9" spans="1:9">
      <c r="A9" s="1">
        <v>8</v>
      </c>
      <c r="B9">
        <f>MIN(Import_UngaBunga!B9,Import_UngaBunga!F9)</f>
        <v>-93.924247741699006</v>
      </c>
      <c r="C9">
        <f>MIN(Import_UngaBunga!C9,Import_UngaBunga!G9)</f>
        <v>-30.902780532836999</v>
      </c>
      <c r="D9">
        <f>ABS(Import_UngaBunga!D9)</f>
        <v>39.562000274657997</v>
      </c>
      <c r="E9">
        <f>ABS(Import_UngaBunga!E9)</f>
        <v>156.20216369628901</v>
      </c>
      <c r="F9">
        <f>MAX(Import_UngaBunga!B9,Import_UngaBunga!F9)</f>
        <v>25.08618927002</v>
      </c>
      <c r="G9">
        <f>MAX(Import_UngaBunga!C9,Import_UngaBunga!G9)</f>
        <v>8.2527046203609995</v>
      </c>
    </row>
    <row r="10" spans="1:9">
      <c r="A10" s="1">
        <v>9</v>
      </c>
      <c r="B10">
        <f>MIN(Import_UngaBunga!B10,Import_UngaBunga!F10)</f>
        <v>-93.216247558594006</v>
      </c>
      <c r="C10">
        <f>MIN(Import_UngaBunga!C10,Import_UngaBunga!G10)</f>
        <v>-30.619136810303001</v>
      </c>
      <c r="D10">
        <f>ABS(Import_UngaBunga!D10)</f>
        <v>39.556228637695</v>
      </c>
      <c r="E10">
        <f>ABS(Import_UngaBunga!E10)</f>
        <v>153.890060424805</v>
      </c>
      <c r="F10">
        <f>MAX(Import_UngaBunga!B10,Import_UngaBunga!F10)</f>
        <v>23.231916427611999</v>
      </c>
      <c r="G10">
        <f>MAX(Import_UngaBunga!C10,Import_UngaBunga!G10)</f>
        <v>7.6619820594789996</v>
      </c>
    </row>
    <row r="11" spans="1:9">
      <c r="A11" s="1">
        <v>10</v>
      </c>
      <c r="B11">
        <f>MIN(Import_UngaBunga!B11,Import_UngaBunga!F11)</f>
        <v>-93.187454223632997</v>
      </c>
      <c r="C11">
        <f>MIN(Import_UngaBunga!C11,Import_UngaBunga!G11)</f>
        <v>-30.662715911865</v>
      </c>
      <c r="D11">
        <f>ABS(Import_UngaBunga!D11)</f>
        <v>40.711112976073998</v>
      </c>
      <c r="E11">
        <f>ABS(Import_UngaBunga!E11)</f>
        <v>154.29840087890599</v>
      </c>
      <c r="F11">
        <f>MAX(Import_UngaBunga!B11,Import_UngaBunga!F11)</f>
        <v>23.774974822998001</v>
      </c>
      <c r="G11">
        <f>MAX(Import_UngaBunga!C11,Import_UngaBunga!G11)</f>
        <v>7.8372530937190001</v>
      </c>
    </row>
    <row r="12" spans="1:9">
      <c r="A12" s="1">
        <v>11</v>
      </c>
      <c r="B12">
        <f>MIN(Import_UngaBunga!B12,Import_UngaBunga!F12)</f>
        <v>-93.290771484375</v>
      </c>
      <c r="C12">
        <f>MIN(Import_UngaBunga!C12,Import_UngaBunga!G12)</f>
        <v>-30.694557189941001</v>
      </c>
      <c r="D12">
        <f>ABS(Import_UngaBunga!D12)</f>
        <v>39.571174621582003</v>
      </c>
      <c r="E12">
        <f>ABS(Import_UngaBunga!E12)</f>
        <v>156.23773193359401</v>
      </c>
      <c r="F12">
        <f>MAX(Import_UngaBunga!B12,Import_UngaBunga!F12)</f>
        <v>23.994319915771001</v>
      </c>
      <c r="G12">
        <f>MAX(Import_UngaBunga!C12,Import_UngaBunga!G12)</f>
        <v>7.8926596641540003</v>
      </c>
    </row>
    <row r="13" spans="1:9">
      <c r="A13" s="1">
        <v>12</v>
      </c>
      <c r="B13">
        <f>MIN(Import_UngaBunga!B13,Import_UngaBunga!F13)</f>
        <v>-93.187889099120994</v>
      </c>
      <c r="C13">
        <f>MIN(Import_UngaBunga!C13,Import_UngaBunga!G13)</f>
        <v>-30.663221359253001</v>
      </c>
      <c r="D13">
        <f>ABS(Import_UngaBunga!D13)</f>
        <v>37.148136138916001</v>
      </c>
      <c r="E13">
        <f>ABS(Import_UngaBunga!E13)</f>
        <v>153.12602233886699</v>
      </c>
      <c r="F13">
        <f>MAX(Import_UngaBunga!B13,Import_UngaBunga!F13)</f>
        <v>23.769666671753001</v>
      </c>
      <c r="G13">
        <f>MAX(Import_UngaBunga!C13,Import_UngaBunga!G13)</f>
        <v>7.8104858398439996</v>
      </c>
    </row>
    <row r="14" spans="1:9">
      <c r="A14" s="1">
        <v>13</v>
      </c>
      <c r="B14">
        <f>MIN(Import_UngaBunga!B14,Import_UngaBunga!F14)</f>
        <v>-92.89860534668</v>
      </c>
      <c r="C14">
        <f>MIN(Import_UngaBunga!C14,Import_UngaBunga!G14)</f>
        <v>-30.570362091063998</v>
      </c>
      <c r="D14">
        <f>ABS(Import_UngaBunga!D14)</f>
        <v>37.408363342285</v>
      </c>
      <c r="E14">
        <f>ABS(Import_UngaBunga!E14)</f>
        <v>153.20596313476599</v>
      </c>
      <c r="F14">
        <f>MAX(Import_UngaBunga!B14,Import_UngaBunga!F14)</f>
        <v>23.865222930908001</v>
      </c>
      <c r="G14">
        <f>MAX(Import_UngaBunga!C14,Import_UngaBunga!G14)</f>
        <v>7.8355255126949999</v>
      </c>
    </row>
    <row r="15" spans="1:9">
      <c r="A15" s="1">
        <v>14</v>
      </c>
      <c r="B15">
        <f>MIN(Import_UngaBunga!B15,Import_UngaBunga!F15)</f>
        <v>-92.66780090332</v>
      </c>
      <c r="C15">
        <f>MIN(Import_UngaBunga!C15,Import_UngaBunga!G15)</f>
        <v>-30.49027633667</v>
      </c>
      <c r="D15">
        <f>ABS(Import_UngaBunga!D15)</f>
        <v>39.568599700927997</v>
      </c>
      <c r="E15">
        <f>ABS(Import_UngaBunga!E15)</f>
        <v>156.230712890625</v>
      </c>
      <c r="F15">
        <f>MAX(Import_UngaBunga!B15,Import_UngaBunga!F15)</f>
        <v>23.797664642333999</v>
      </c>
      <c r="G15">
        <f>MAX(Import_UngaBunga!C15,Import_UngaBunga!G15)</f>
        <v>7.8298869133000002</v>
      </c>
    </row>
    <row r="16" spans="1:9">
      <c r="A16" s="1">
        <v>15</v>
      </c>
      <c r="B16">
        <f>MIN(Import_UngaBunga!B16,Import_UngaBunga!F16)</f>
        <v>-92.896926879882997</v>
      </c>
      <c r="C16">
        <f>MIN(Import_UngaBunga!C16,Import_UngaBunga!G16)</f>
        <v>-30.562330245971999</v>
      </c>
      <c r="D16">
        <f>ABS(Import_UngaBunga!D16)</f>
        <v>40.449775695801002</v>
      </c>
      <c r="E16">
        <f>ABS(Import_UngaBunga!E16)</f>
        <v>154.20730590820301</v>
      </c>
      <c r="F16">
        <f>MAX(Import_UngaBunga!B16,Import_UngaBunga!F16)</f>
        <v>23.875551223755</v>
      </c>
      <c r="G16">
        <f>MAX(Import_UngaBunga!C16,Import_UngaBunga!G16)</f>
        <v>7.8730072975159997</v>
      </c>
    </row>
    <row r="17" spans="1:7">
      <c r="A17" s="1">
        <v>16</v>
      </c>
      <c r="B17">
        <f>MIN(Import_UngaBunga!B17,Import_UngaBunga!F17)</f>
        <v>-92.848167419434006</v>
      </c>
      <c r="C17">
        <f>MIN(Import_UngaBunga!C17,Import_UngaBunga!G17)</f>
        <v>-30.543684005736999</v>
      </c>
      <c r="D17">
        <f>ABS(Import_UngaBunga!D17)</f>
        <v>40.720504760742003</v>
      </c>
      <c r="E17">
        <f>ABS(Import_UngaBunga!E17)</f>
        <v>154.29669189453099</v>
      </c>
      <c r="F17">
        <f>MAX(Import_UngaBunga!B17,Import_UngaBunga!F17)</f>
        <v>23.997764587401999</v>
      </c>
      <c r="G17">
        <f>MAX(Import_UngaBunga!C17,Import_UngaBunga!G17)</f>
        <v>7.9119353294370001</v>
      </c>
    </row>
    <row r="18" spans="1:7">
      <c r="A18" s="1">
        <v>17</v>
      </c>
      <c r="B18">
        <f>MIN(Import_UngaBunga!B18,Import_UngaBunga!F18)</f>
        <v>-92.417167663574006</v>
      </c>
      <c r="C18">
        <f>MIN(Import_UngaBunga!C18,Import_UngaBunga!G18)</f>
        <v>-30.408214569091999</v>
      </c>
      <c r="D18">
        <f>ABS(Import_UngaBunga!D18)</f>
        <v>39.567245483397997</v>
      </c>
      <c r="E18">
        <f>ABS(Import_UngaBunga!E18)</f>
        <v>156.22637939453099</v>
      </c>
      <c r="F18">
        <f>MAX(Import_UngaBunga!B18,Import_UngaBunga!F18)</f>
        <v>23.551570892333999</v>
      </c>
      <c r="G18">
        <f>MAX(Import_UngaBunga!C18,Import_UngaBunga!G18)</f>
        <v>7.7492947578429998</v>
      </c>
    </row>
    <row r="19" spans="1:7">
      <c r="A19" s="1">
        <v>18</v>
      </c>
      <c r="B19">
        <f>MIN(Import_UngaBunga!B19,Import_UngaBunga!F19)</f>
        <v>-92.851821899414006</v>
      </c>
      <c r="C19">
        <f>MIN(Import_UngaBunga!C19,Import_UngaBunga!G19)</f>
        <v>-30.557586669921999</v>
      </c>
      <c r="D19">
        <f>ABS(Import_UngaBunga!D19)</f>
        <v>37.138275146483998</v>
      </c>
      <c r="E19">
        <f>ABS(Import_UngaBunga!E19)</f>
        <v>153.11827087402301</v>
      </c>
      <c r="F19">
        <f>MAX(Import_UngaBunga!B19,Import_UngaBunga!F19)</f>
        <v>23.989063262938998</v>
      </c>
      <c r="G19">
        <f>MAX(Import_UngaBunga!C19,Import_UngaBunga!G19)</f>
        <v>7.8770065307620003</v>
      </c>
    </row>
    <row r="20" spans="1:7">
      <c r="A20" s="1">
        <v>19</v>
      </c>
      <c r="B20">
        <f>MIN(Import_UngaBunga!B20,Import_UngaBunga!F20)</f>
        <v>-93.09024810791</v>
      </c>
      <c r="C20">
        <f>MIN(Import_UngaBunga!C20,Import_UngaBunga!G20)</f>
        <v>-30.627334594726999</v>
      </c>
      <c r="D20">
        <f>ABS(Import_UngaBunga!D20)</f>
        <v>37.504501342772997</v>
      </c>
      <c r="E20">
        <f>ABS(Import_UngaBunga!E20)</f>
        <v>153.25506591796901</v>
      </c>
      <c r="F20">
        <f>MAX(Import_UngaBunga!B20,Import_UngaBunga!F20)</f>
        <v>24.308437347411999</v>
      </c>
      <c r="G20">
        <f>MAX(Import_UngaBunga!C20,Import_UngaBunga!G20)</f>
        <v>7.9795532226560004</v>
      </c>
    </row>
    <row r="21" spans="1:7">
      <c r="A21" s="1">
        <v>20</v>
      </c>
      <c r="B21">
        <f>MIN(Import_UngaBunga!B21,Import_UngaBunga!F21)</f>
        <v>-94.090843200684006</v>
      </c>
      <c r="C21">
        <f>MIN(Import_UngaBunga!C21,Import_UngaBunga!G21)</f>
        <v>-30.959253311156999</v>
      </c>
      <c r="D21">
        <f>ABS(Import_UngaBunga!D21)</f>
        <v>39.566341400146001</v>
      </c>
      <c r="E21">
        <f>ABS(Import_UngaBunga!E21)</f>
        <v>156.22354125976599</v>
      </c>
      <c r="F21">
        <f>MAX(Import_UngaBunga!B21,Import_UngaBunga!F21)</f>
        <v>22.911605834961001</v>
      </c>
      <c r="G21">
        <f>MAX(Import_UngaBunga!C21,Import_UngaBunga!G21)</f>
        <v>7.5387892723079997</v>
      </c>
    </row>
    <row r="22" spans="1:7">
      <c r="A22" s="1">
        <v>21</v>
      </c>
      <c r="B22">
        <f>MIN(Import_UngaBunga!B22,Import_UngaBunga!F22)</f>
        <v>-93.092010498047003</v>
      </c>
      <c r="C22">
        <f>MIN(Import_UngaBunga!C22,Import_UngaBunga!G22)</f>
        <v>-30.632915496826001</v>
      </c>
      <c r="D22">
        <f>ABS(Import_UngaBunga!D22)</f>
        <v>40.363151550292997</v>
      </c>
      <c r="E22">
        <f>ABS(Import_UngaBunga!E22)</f>
        <v>154.19589233398401</v>
      </c>
      <c r="F22">
        <f>MAX(Import_UngaBunga!B22,Import_UngaBunga!F22)</f>
        <v>24.318340301513999</v>
      </c>
      <c r="G22">
        <f>MAX(Import_UngaBunga!C22,Import_UngaBunga!G22)</f>
        <v>8.0197887420649998</v>
      </c>
    </row>
    <row r="23" spans="1:7">
      <c r="A23" s="1">
        <v>22</v>
      </c>
      <c r="B23">
        <f>MIN(Import_UngaBunga!B23,Import_UngaBunga!F23)</f>
        <v>-97.236404418945</v>
      </c>
      <c r="C23">
        <f>MIN(Import_UngaBunga!C23,Import_UngaBunga!G23)</f>
        <v>-31.964458465576001</v>
      </c>
      <c r="D23">
        <f>ABS(Import_UngaBunga!D23)</f>
        <v>38.134857177733998</v>
      </c>
      <c r="E23">
        <f>ABS(Import_UngaBunga!E23)</f>
        <v>153.99621582031301</v>
      </c>
      <c r="F23">
        <f>MAX(Import_UngaBunga!B23,Import_UngaBunga!F23)</f>
        <v>23.155075073241999</v>
      </c>
      <c r="G23">
        <f>MAX(Import_UngaBunga!C23,Import_UngaBunga!G23)</f>
        <v>7.6102762222290004</v>
      </c>
    </row>
    <row r="24" spans="1:7">
      <c r="A24" s="1">
        <v>23</v>
      </c>
      <c r="B24">
        <f>MIN(Import_UngaBunga!B24,Import_UngaBunga!F24)</f>
        <v>-98.803512573242003</v>
      </c>
      <c r="C24">
        <f>MIN(Import_UngaBunga!C24,Import_UngaBunga!G24)</f>
        <v>-32.509944915771001</v>
      </c>
      <c r="D24">
        <f>ABS(Import_UngaBunga!D24)</f>
        <v>39.634246826172003</v>
      </c>
      <c r="E24">
        <f>ABS(Import_UngaBunga!E24)</f>
        <v>156.49165344238301</v>
      </c>
      <c r="F24">
        <f>MAX(Import_UngaBunga!B24,Import_UngaBunga!F24)</f>
        <v>25.223943710326999</v>
      </c>
      <c r="G24">
        <f>MAX(Import_UngaBunga!C24,Import_UngaBunga!G24)</f>
        <v>8.2996406555179991</v>
      </c>
    </row>
    <row r="25" spans="1:7">
      <c r="A25" s="1">
        <v>24</v>
      </c>
      <c r="B25">
        <f>MIN(Import_UngaBunga!B25,Import_UngaBunga!F25)</f>
        <v>-97.252876281737997</v>
      </c>
      <c r="C25">
        <f>MIN(Import_UngaBunga!C25,Import_UngaBunga!G25)</f>
        <v>-32.028945922852003</v>
      </c>
      <c r="D25">
        <f>ABS(Import_UngaBunga!D25)</f>
        <v>40.02758026123</v>
      </c>
      <c r="E25">
        <f>ABS(Import_UngaBunga!E25)</f>
        <v>154.61917114257801</v>
      </c>
      <c r="F25">
        <f>MAX(Import_UngaBunga!B25,Import_UngaBunga!F25)</f>
        <v>23.159351348876999</v>
      </c>
      <c r="G25">
        <f>MAX(Import_UngaBunga!C25,Import_UngaBunga!G25)</f>
        <v>7.6283073425290002</v>
      </c>
    </row>
    <row r="26" spans="1:7">
      <c r="A26" s="1">
        <v>25</v>
      </c>
      <c r="B26">
        <f>MIN(Import_UngaBunga!B26,Import_UngaBunga!F26)</f>
        <v>-102.14304351806599</v>
      </c>
      <c r="C26">
        <f>MIN(Import_UngaBunga!C26,Import_UngaBunga!G26)</f>
        <v>-34.132274627686002</v>
      </c>
      <c r="D26">
        <f>ABS(Import_UngaBunga!D26)</f>
        <v>35.547241210937997</v>
      </c>
      <c r="E26">
        <f>ABS(Import_UngaBunga!E26)</f>
        <v>153.15267944335901</v>
      </c>
      <c r="F26">
        <f>MAX(Import_UngaBunga!B26,Import_UngaBunga!F26)</f>
        <v>20.29701423645</v>
      </c>
      <c r="G26">
        <f>MAX(Import_UngaBunga!C26,Import_UngaBunga!G26)</f>
        <v>6.6631793975829998</v>
      </c>
    </row>
    <row r="27" spans="1:7">
      <c r="A27" s="1">
        <v>26</v>
      </c>
      <c r="B27">
        <f>MIN(Import_UngaBunga!B27,Import_UngaBunga!F27)</f>
        <v>-95.446365356445</v>
      </c>
      <c r="C27">
        <f>MIN(Import_UngaBunga!C27,Import_UngaBunga!G27)</f>
        <v>-31.404977798461999</v>
      </c>
      <c r="D27">
        <f>ABS(Import_UngaBunga!D27)</f>
        <v>39.685920715332003</v>
      </c>
      <c r="E27">
        <f>ABS(Import_UngaBunga!E27)</f>
        <v>156.69552612304699</v>
      </c>
      <c r="F27">
        <f>MAX(Import_UngaBunga!B27,Import_UngaBunga!F27)</f>
        <v>30.936141967773001</v>
      </c>
      <c r="G27">
        <f>MAX(Import_UngaBunga!C27,Import_UngaBunga!G27)</f>
        <v>10.178909301758001</v>
      </c>
    </row>
    <row r="28" spans="1:7">
      <c r="A28" s="1">
        <v>27</v>
      </c>
      <c r="B28">
        <f>MIN(Import_UngaBunga!B28,Import_UngaBunga!F28)</f>
        <v>-101.853134155273</v>
      </c>
      <c r="C28">
        <f>MIN(Import_UngaBunga!C28,Import_UngaBunga!G28)</f>
        <v>-32.988941192627003</v>
      </c>
      <c r="D28">
        <f>ABS(Import_UngaBunga!D28)</f>
        <v>42.619445800781001</v>
      </c>
      <c r="E28">
        <f>ABS(Import_UngaBunga!E28)</f>
        <v>155.47952270507801</v>
      </c>
      <c r="F28">
        <f>MAX(Import_UngaBunga!B28,Import_UngaBunga!F28)</f>
        <v>20.305200576781999</v>
      </c>
      <c r="G28">
        <f>MAX(Import_UngaBunga!C28,Import_UngaBunga!G28)</f>
        <v>6.695992469788</v>
      </c>
    </row>
    <row r="29" spans="1:7">
      <c r="A29" s="1">
        <v>28</v>
      </c>
      <c r="B29">
        <f>MIN(Import_UngaBunga!B29,Import_UngaBunga!F29)</f>
        <v>-68.130546569824006</v>
      </c>
      <c r="C29">
        <f>MIN(Import_UngaBunga!C29,Import_UngaBunga!G29)</f>
        <v>-19.342180252075</v>
      </c>
      <c r="D29">
        <f>ABS(Import_UngaBunga!D29)</f>
        <v>44.374069213867003</v>
      </c>
      <c r="E29">
        <f>ABS(Import_UngaBunga!E29)</f>
        <v>157.52438354492199</v>
      </c>
      <c r="F29">
        <f>MAX(Import_UngaBunga!B29,Import_UngaBunga!F29)</f>
        <v>22.244077682495</v>
      </c>
      <c r="G29">
        <f>MAX(Import_UngaBunga!C29,Import_UngaBunga!G29)</f>
        <v>7.4255881309509997</v>
      </c>
    </row>
    <row r="30" spans="1:7">
      <c r="A30" s="1">
        <v>29</v>
      </c>
      <c r="B30">
        <f>MIN(Import_UngaBunga!B30,Import_UngaBunga!F30)</f>
        <v>-85.820915222167997</v>
      </c>
      <c r="C30">
        <f>MIN(Import_UngaBunga!C30,Import_UngaBunga!G30)</f>
        <v>-28.23770904541</v>
      </c>
      <c r="D30">
        <f>ABS(Import_UngaBunga!D30)</f>
        <v>39.592140197753999</v>
      </c>
      <c r="E30">
        <f>ABS(Import_UngaBunga!E30)</f>
        <v>156.32489013671901</v>
      </c>
      <c r="F30">
        <f>MAX(Import_UngaBunga!B30,Import_UngaBunga!F30)</f>
        <v>27.109111785888999</v>
      </c>
      <c r="G30">
        <f>MAX(Import_UngaBunga!C30,Import_UngaBunga!G30)</f>
        <v>8.9195547103880006</v>
      </c>
    </row>
    <row r="31" spans="1:7">
      <c r="A31" s="1">
        <v>30</v>
      </c>
      <c r="B31">
        <f>MIN(Import_UngaBunga!B31,Import_UngaBunga!F31)</f>
        <v>-69.829635620117003</v>
      </c>
      <c r="C31">
        <f>MIN(Import_UngaBunga!C31,Import_UngaBunga!G31)</f>
        <v>-26.05110168457</v>
      </c>
      <c r="D31">
        <f>ABS(Import_UngaBunga!D31)</f>
        <v>34.603393554687997</v>
      </c>
      <c r="E31">
        <f>ABS(Import_UngaBunga!E31)</f>
        <v>154.30953979492199</v>
      </c>
      <c r="F31">
        <f>MAX(Import_UngaBunga!B31,Import_UngaBunga!F31)</f>
        <v>22.185270309448001</v>
      </c>
      <c r="G31">
        <f>MAX(Import_UngaBunga!C31,Import_UngaBunga!G31)</f>
        <v>7.1934490203859998</v>
      </c>
    </row>
    <row r="32" spans="1:7">
      <c r="A32" s="1">
        <v>31</v>
      </c>
    </row>
    <row r="33" spans="1:9">
      <c r="A33" s="1">
        <v>32</v>
      </c>
    </row>
    <row r="34" spans="1:9">
      <c r="A34" s="1">
        <v>33</v>
      </c>
    </row>
    <row r="35" spans="1:9">
      <c r="A35" s="1">
        <v>34</v>
      </c>
    </row>
    <row r="36" spans="1:9">
      <c r="A36" s="1">
        <v>35</v>
      </c>
    </row>
    <row r="37" spans="1:9">
      <c r="A37" s="1">
        <v>36</v>
      </c>
    </row>
    <row r="38" spans="1:9">
      <c r="A38" s="1">
        <v>37</v>
      </c>
      <c r="H38">
        <v>-84.510917663574006</v>
      </c>
      <c r="I38">
        <v>-26.74822807312</v>
      </c>
    </row>
    <row r="39" spans="1:9">
      <c r="A39" s="1">
        <v>38</v>
      </c>
      <c r="H39">
        <v>-76.450065612792997</v>
      </c>
      <c r="I39">
        <v>-25.156949996948001</v>
      </c>
    </row>
    <row r="40" spans="1:9">
      <c r="A40" s="1">
        <v>39</v>
      </c>
      <c r="H40">
        <v>-85.092254638672003</v>
      </c>
      <c r="I40">
        <v>-29.045667648315</v>
      </c>
    </row>
    <row r="41" spans="1:9">
      <c r="A41" s="1">
        <v>40</v>
      </c>
      <c r="H41">
        <v>-85.122329711914006</v>
      </c>
      <c r="I41">
        <v>-28.03297996521</v>
      </c>
    </row>
    <row r="42" spans="1:9">
      <c r="A42" s="1">
        <v>41</v>
      </c>
      <c r="H42">
        <v>-88.499740600585994</v>
      </c>
      <c r="I42">
        <v>-29.122882843018001</v>
      </c>
    </row>
    <row r="43" spans="1:9">
      <c r="A43" s="1">
        <v>42</v>
      </c>
      <c r="H43">
        <v>-85.10782623291</v>
      </c>
      <c r="I43">
        <v>-27.97695350647</v>
      </c>
    </row>
    <row r="44" spans="1:9">
      <c r="A44" s="1">
        <v>43</v>
      </c>
      <c r="H44">
        <v>-73.137466430664006</v>
      </c>
      <c r="I44">
        <v>-24.112689971923999</v>
      </c>
    </row>
    <row r="45" spans="1:9">
      <c r="A45" s="1">
        <v>44</v>
      </c>
      <c r="H45">
        <v>-73.509140014647997</v>
      </c>
      <c r="I45">
        <v>-24.182792663573998</v>
      </c>
    </row>
    <row r="46" spans="1:9">
      <c r="A46" s="1">
        <v>45</v>
      </c>
      <c r="H46">
        <v>-73.11319732666</v>
      </c>
      <c r="I46">
        <v>-24.012451171875</v>
      </c>
    </row>
    <row r="47" spans="1:9">
      <c r="A47" s="1">
        <v>46</v>
      </c>
      <c r="H47">
        <v>-83.890106201172003</v>
      </c>
      <c r="I47">
        <v>-27.580795288086001</v>
      </c>
    </row>
    <row r="48" spans="1:9">
      <c r="A48" s="1">
        <v>47</v>
      </c>
      <c r="H48">
        <v>-84.565605163574006</v>
      </c>
      <c r="I48">
        <v>-27.824998855591002</v>
      </c>
    </row>
    <row r="49" spans="1:9">
      <c r="A49" s="1">
        <v>48</v>
      </c>
      <c r="H49">
        <v>-83.903129577637003</v>
      </c>
      <c r="I49">
        <v>-27.630136489868001</v>
      </c>
    </row>
    <row r="50" spans="1:9">
      <c r="A50" s="1">
        <v>49</v>
      </c>
      <c r="H50">
        <v>-73.250267028809006</v>
      </c>
      <c r="I50">
        <v>-24.097608566283998</v>
      </c>
    </row>
    <row r="51" spans="1:9">
      <c r="A51" s="1">
        <v>50</v>
      </c>
      <c r="H51">
        <v>-73.620880126952997</v>
      </c>
      <c r="I51">
        <v>-24.224504470825</v>
      </c>
    </row>
    <row r="52" spans="1:9">
      <c r="A52" s="1">
        <v>51</v>
      </c>
      <c r="H52">
        <v>-73.252998352050994</v>
      </c>
      <c r="I52">
        <v>-24.107849121093999</v>
      </c>
    </row>
    <row r="53" spans="1:9">
      <c r="A53" s="1">
        <v>52</v>
      </c>
      <c r="H53">
        <v>-83.816162109375</v>
      </c>
      <c r="I53">
        <v>-27.594072341918999</v>
      </c>
    </row>
    <row r="54" spans="1:9">
      <c r="A54" s="1">
        <v>53</v>
      </c>
      <c r="H54">
        <v>-84.017059326172003</v>
      </c>
      <c r="I54">
        <v>-27.644832611083999</v>
      </c>
    </row>
    <row r="55" spans="1:9">
      <c r="A55" s="1">
        <v>54</v>
      </c>
      <c r="H55">
        <v>-83.806495666504006</v>
      </c>
      <c r="I55">
        <v>-27.559341430663999</v>
      </c>
    </row>
    <row r="56" spans="1:9">
      <c r="A56" s="1">
        <v>55</v>
      </c>
      <c r="H56">
        <v>-72.410865783690994</v>
      </c>
      <c r="I56">
        <v>-23.74818611145</v>
      </c>
    </row>
    <row r="57" spans="1:9">
      <c r="A57" s="1">
        <v>56</v>
      </c>
      <c r="H57">
        <v>-72.49976348877</v>
      </c>
      <c r="I57">
        <v>-23.854387283325</v>
      </c>
    </row>
    <row r="58" spans="1:9">
      <c r="A58" s="1">
        <v>57</v>
      </c>
      <c r="H58">
        <v>-72.452705383300994</v>
      </c>
      <c r="I58">
        <v>-23.915967941283998</v>
      </c>
    </row>
    <row r="59" spans="1:9">
      <c r="A59" s="1">
        <v>58</v>
      </c>
      <c r="H59">
        <v>-72.377990722655994</v>
      </c>
      <c r="I59">
        <v>-23.768032073975</v>
      </c>
    </row>
    <row r="60" spans="1:9">
      <c r="A60" s="1">
        <v>59</v>
      </c>
      <c r="H60">
        <v>-75.352951049805</v>
      </c>
      <c r="I60">
        <v>-24.793008804321001</v>
      </c>
    </row>
    <row r="61" spans="1:9">
      <c r="A61" s="1">
        <v>60</v>
      </c>
      <c r="H61">
        <v>-72.404121398925994</v>
      </c>
      <c r="I61">
        <v>-23.86905670166</v>
      </c>
    </row>
    <row r="62" spans="1:9">
      <c r="A62" s="1">
        <v>61</v>
      </c>
      <c r="H62">
        <v>-69.960311889647997</v>
      </c>
      <c r="I62">
        <v>-24.005712509155</v>
      </c>
    </row>
    <row r="63" spans="1:9">
      <c r="A63" s="1">
        <v>62</v>
      </c>
      <c r="H63">
        <v>-62.794387817382997</v>
      </c>
      <c r="I63">
        <v>-20.661027908325</v>
      </c>
    </row>
    <row r="64" spans="1:9">
      <c r="A64" s="1">
        <v>63</v>
      </c>
      <c r="H64">
        <v>-69.415634155272997</v>
      </c>
      <c r="I64">
        <v>-21.853281021118001</v>
      </c>
    </row>
    <row r="65" spans="1:1">
      <c r="A65" s="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D355-41FF-DE42-8B69-160301541511}">
  <dimension ref="A1:I64"/>
  <sheetViews>
    <sheetView zoomScale="50" zoomScaleNormal="93" workbookViewId="0">
      <selection activeCell="A2" sqref="A2"/>
    </sheetView>
  </sheetViews>
  <sheetFormatPr baseColWidth="10" defaultRowHeight="15.6"/>
  <cols>
    <col min="1" max="1" width="17" customWidth="1"/>
    <col min="3" max="3" width="21.69921875" customWidth="1"/>
    <col min="4" max="4" width="21.796875" customWidth="1"/>
    <col min="5" max="5" width="18.69921875" customWidth="1"/>
    <col min="6" max="6" width="20.296875" customWidth="1"/>
    <col min="8" max="8" width="22.296875" customWidth="1"/>
    <col min="9" max="9" width="24.19921875" customWidth="1"/>
  </cols>
  <sheetData>
    <row r="1" spans="1:9">
      <c r="A1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H1" s="3" t="s">
        <v>14</v>
      </c>
      <c r="I1" s="3" t="s">
        <v>15</v>
      </c>
    </row>
    <row r="2" spans="1:9">
      <c r="A2">
        <v>531.78</v>
      </c>
      <c r="B2">
        <f>Import!A2</f>
        <v>1</v>
      </c>
      <c r="C2">
        <f>SQRT(Import!B2^2+Import!F2^2-Import!B2*Import!F2+3*Import!D2^2)</f>
        <v>72.124359998856804</v>
      </c>
      <c r="D2">
        <f>SQRT(Import!C2^2+Import!G2^2-Import!C2*Import!G2+3*Import!E2^2)</f>
        <v>268.59748191881744</v>
      </c>
      <c r="E2">
        <f>ABS(Import!H2)</f>
        <v>0</v>
      </c>
      <c r="F2">
        <f>ABS(Import!I2)</f>
        <v>0</v>
      </c>
      <c r="H2" s="8">
        <f>IF(C2&lt;&gt;0,$A$2/(1.5*C2),IF(E2&lt;&gt;0,$A$2/(1.5*E2),"NaN"))</f>
        <v>4.915398902751015</v>
      </c>
      <c r="I2" s="8">
        <f>IF(D2&lt;&gt;0,$A$2/(1.5*D2),IF(F2&lt;&gt;0,$A$2/(1.5*F2),"NaN"))</f>
        <v>1.3198932375216843</v>
      </c>
    </row>
    <row r="3" spans="1:9">
      <c r="B3">
        <f>Import!A3</f>
        <v>2</v>
      </c>
      <c r="C3">
        <f>SQRT(Import!B3^2+Import!F3^2-Import!B3*Import!F3+3*Import!D3^2)</f>
        <v>119.07813777103497</v>
      </c>
      <c r="D3">
        <f>SQRT(Import!C3^2+Import!G3^2-Import!C3*Import!G3+3*Import!E3^2)</f>
        <v>272.08143625229502</v>
      </c>
      <c r="E3">
        <f>ABS(Import!H3)</f>
        <v>0</v>
      </c>
      <c r="F3">
        <f>ABS(Import!I3)</f>
        <v>0</v>
      </c>
      <c r="H3" s="8">
        <f t="shared" ref="H3:I64" si="0">IF(C3&lt;&gt;0,$A$2/(1.5*C3),IF(E3&lt;&gt;0,$A$2/(1.5*E3),"NaN"))</f>
        <v>2.9772047718925174</v>
      </c>
      <c r="I3" s="8">
        <f t="shared" si="0"/>
        <v>1.3029922396883467</v>
      </c>
    </row>
    <row r="4" spans="1:9">
      <c r="B4">
        <f>Import!A4</f>
        <v>3</v>
      </c>
      <c r="C4">
        <f>SQRT(Import!B4^2+Import!F4^2-Import!B4*Import!F4+3*Import!D4^2)</f>
        <v>108.04471722858953</v>
      </c>
      <c r="D4">
        <f>SQRT(Import!C4^2+Import!G4^2-Import!C4*Import!G4+3*Import!E4^2)</f>
        <v>272.11581104612634</v>
      </c>
      <c r="E4">
        <f>ABS(Import!H4)</f>
        <v>0</v>
      </c>
      <c r="F4">
        <f>ABS(Import!I4)</f>
        <v>0</v>
      </c>
      <c r="H4" s="8">
        <f t="shared" si="0"/>
        <v>3.2812340028614657</v>
      </c>
      <c r="I4" s="8">
        <f t="shared" si="0"/>
        <v>1.3028276403237198</v>
      </c>
    </row>
    <row r="5" spans="1:9">
      <c r="B5">
        <f>Import!A5</f>
        <v>4</v>
      </c>
      <c r="C5">
        <f>SQRT(Import!B5^2+Import!F5^2-Import!B5*Import!F5+3*Import!D5^2)</f>
        <v>127.94761571485456</v>
      </c>
      <c r="D5">
        <f>SQRT(Import!C5^2+Import!G5^2-Import!C5*Import!G5+3*Import!E5^2)</f>
        <v>269.27070696164731</v>
      </c>
      <c r="E5">
        <f>ABS(Import!H5)</f>
        <v>0</v>
      </c>
      <c r="F5">
        <f>ABS(Import!I5)</f>
        <v>0</v>
      </c>
      <c r="H5" s="8">
        <f t="shared" si="0"/>
        <v>2.7708214648570482</v>
      </c>
      <c r="I5" s="8">
        <f t="shared" si="0"/>
        <v>1.3165932677946097</v>
      </c>
    </row>
    <row r="6" spans="1:9">
      <c r="B6">
        <f>Import!A6</f>
        <v>5</v>
      </c>
      <c r="C6">
        <f>SQRT(Import!B6^2+Import!F6^2-Import!B6*Import!F6+3*Import!D6^2)</f>
        <v>125.78525467428358</v>
      </c>
      <c r="D6">
        <f>SQRT(Import!C6^2+Import!G6^2-Import!C6*Import!G6+3*Import!E6^2)</f>
        <v>272.47163160687074</v>
      </c>
      <c r="E6">
        <f>ABS(Import!H6)</f>
        <v>0</v>
      </c>
      <c r="F6">
        <f>ABS(Import!I6)</f>
        <v>0</v>
      </c>
      <c r="H6" s="8">
        <f t="shared" si="0"/>
        <v>2.8184543642894937</v>
      </c>
      <c r="I6" s="8">
        <f t="shared" si="0"/>
        <v>1.3011262783918391</v>
      </c>
    </row>
    <row r="7" spans="1:9">
      <c r="B7">
        <f>Import!A7</f>
        <v>6</v>
      </c>
      <c r="C7">
        <f>SQRT(Import!B7^2+Import!F7^2-Import!B7*Import!F7+3*Import!D7^2)</f>
        <v>122.2626471576414</v>
      </c>
      <c r="D7">
        <f>SQRT(Import!C7^2+Import!G7^2-Import!C7*Import!G7+3*Import!E7^2)</f>
        <v>265.81607983655539</v>
      </c>
      <c r="E7">
        <f>ABS(Import!H7)</f>
        <v>0</v>
      </c>
      <c r="F7">
        <f>ABS(Import!I7)</f>
        <v>0</v>
      </c>
      <c r="H7" s="8">
        <f t="shared" si="0"/>
        <v>2.8996591210960259</v>
      </c>
      <c r="I7" s="8">
        <f t="shared" si="0"/>
        <v>1.3337041168389314</v>
      </c>
    </row>
    <row r="8" spans="1:9">
      <c r="B8">
        <f>Import!A8</f>
        <v>7</v>
      </c>
      <c r="C8">
        <f>SQRT(Import!B8^2+Import!F8^2-Import!B8*Import!F8+3*Import!D8^2)</f>
        <v>125.68792799675778</v>
      </c>
      <c r="D8">
        <f>SQRT(Import!C8^2+Import!G8^2-Import!C8*Import!G8+3*Import!E8^2)</f>
        <v>268.140996797708</v>
      </c>
      <c r="E8">
        <f>ABS(Import!H8)</f>
        <v>0</v>
      </c>
      <c r="F8">
        <f>ABS(Import!I8)</f>
        <v>0</v>
      </c>
      <c r="H8" s="8">
        <f t="shared" si="0"/>
        <v>2.8206368395948505</v>
      </c>
      <c r="I8" s="8">
        <f t="shared" si="0"/>
        <v>1.3221402330634968</v>
      </c>
    </row>
    <row r="9" spans="1:9">
      <c r="B9">
        <f>Import!A9</f>
        <v>8</v>
      </c>
      <c r="C9">
        <f>SQRT(Import!B9^2+Import!F9^2-Import!B9*Import!F9+3*Import!D9^2)</f>
        <v>128.46298400326822</v>
      </c>
      <c r="D9">
        <f>SQRT(Import!C9^2+Import!G9^2-Import!C9*Import!G9+3*Import!E9^2)</f>
        <v>272.9019390332428</v>
      </c>
      <c r="E9">
        <f>ABS(Import!H9)</f>
        <v>0</v>
      </c>
      <c r="F9">
        <f>ABS(Import!I9)</f>
        <v>0</v>
      </c>
      <c r="H9" s="8">
        <f t="shared" si="0"/>
        <v>2.7597054727529966</v>
      </c>
      <c r="I9" s="8">
        <f t="shared" si="0"/>
        <v>1.2990746832209759</v>
      </c>
    </row>
    <row r="10" spans="1:9">
      <c r="B10">
        <f>Import!A10</f>
        <v>9</v>
      </c>
      <c r="C10">
        <f>SQRT(Import!B10^2+Import!F10^2-Import!B10*Import!F10+3*Import!D10^2)</f>
        <v>126.84111515945563</v>
      </c>
      <c r="D10">
        <f>SQRT(Import!C10^2+Import!G10^2-Import!C10*Import!G10+3*Import!E10^2)</f>
        <v>268.84436553079462</v>
      </c>
      <c r="E10">
        <f>ABS(Import!H10)</f>
        <v>0</v>
      </c>
      <c r="F10">
        <f>ABS(Import!I10)</f>
        <v>0</v>
      </c>
      <c r="H10" s="8">
        <f t="shared" si="0"/>
        <v>2.794992771502542</v>
      </c>
      <c r="I10" s="8">
        <f t="shared" si="0"/>
        <v>1.3186811607528064</v>
      </c>
    </row>
    <row r="11" spans="1:9">
      <c r="B11">
        <f>Import!A11</f>
        <v>10</v>
      </c>
      <c r="C11">
        <f>SQRT(Import!B11^2+Import!F11^2-Import!B11*Import!F11+3*Import!D11^2)</f>
        <v>128.20633599691561</v>
      </c>
      <c r="D11">
        <f>SQRT(Import!C11^2+Import!G11^2-Import!C11*Import!G11+3*Import!E11^2)</f>
        <v>269.56618053764009</v>
      </c>
      <c r="E11">
        <f>ABS(Import!H11)</f>
        <v>0</v>
      </c>
      <c r="F11">
        <f>ABS(Import!I11)</f>
        <v>0</v>
      </c>
      <c r="H11" s="8">
        <f t="shared" si="0"/>
        <v>2.7652299493882193</v>
      </c>
      <c r="I11" s="8">
        <f t="shared" si="0"/>
        <v>1.3151501397279233</v>
      </c>
    </row>
    <row r="12" spans="1:9">
      <c r="B12">
        <f>Import!A12</f>
        <v>11</v>
      </c>
      <c r="C12">
        <f>SQRT(Import!B12^2+Import!F12^2-Import!B12*Import!F12+3*Import!D12^2)</f>
        <v>127.33804471308105</v>
      </c>
      <c r="D12">
        <f>SQRT(Import!C12^2+Import!G12^2-Import!C12*Import!G12+3*Import!E12^2)</f>
        <v>272.90547493658602</v>
      </c>
      <c r="E12">
        <f>ABS(Import!H12)</f>
        <v>0</v>
      </c>
      <c r="F12">
        <f>ABS(Import!I12)</f>
        <v>0</v>
      </c>
      <c r="H12" s="8">
        <f t="shared" si="0"/>
        <v>2.7840854694981916</v>
      </c>
      <c r="I12" s="8">
        <f t="shared" si="0"/>
        <v>1.2990578517429099</v>
      </c>
    </row>
    <row r="13" spans="1:9">
      <c r="B13">
        <f>Import!A13</f>
        <v>12</v>
      </c>
      <c r="C13">
        <f>SQRT(Import!B13^2+Import!F13^2-Import!B13*Import!F13+3*Import!D13^2)</f>
        <v>124.91587907849434</v>
      </c>
      <c r="D13">
        <f>SQRT(Import!C13^2+Import!G13^2-Import!C13*Import!G13+3*Import!E13^2)</f>
        <v>267.55086925925127</v>
      </c>
      <c r="E13">
        <f>ABS(Import!H13)</f>
        <v>0</v>
      </c>
      <c r="F13">
        <f>ABS(Import!I13)</f>
        <v>0</v>
      </c>
      <c r="H13" s="8">
        <f t="shared" si="0"/>
        <v>2.8380699284614375</v>
      </c>
      <c r="I13" s="8">
        <f t="shared" si="0"/>
        <v>1.3250564312556108</v>
      </c>
    </row>
    <row r="14" spans="1:9">
      <c r="B14">
        <f>Import!A14</f>
        <v>13</v>
      </c>
      <c r="C14">
        <f>SQRT(Import!B14^2+Import!F14^2-Import!B14*Import!F14+3*Import!D14^2)</f>
        <v>124.95960391788354</v>
      </c>
      <c r="D14">
        <f>SQRT(Import!C14^2+Import!G14^2-Import!C14*Import!G14+3*Import!E14^2)</f>
        <v>267.67831210370696</v>
      </c>
      <c r="E14">
        <f>ABS(Import!H14)</f>
        <v>0</v>
      </c>
      <c r="F14">
        <f>ABS(Import!I14)</f>
        <v>0</v>
      </c>
      <c r="H14" s="8">
        <f t="shared" si="0"/>
        <v>2.8370768543166216</v>
      </c>
      <c r="I14" s="8">
        <f t="shared" si="0"/>
        <v>1.3244255659481587</v>
      </c>
    </row>
    <row r="15" spans="1:9">
      <c r="B15">
        <f>Import!A15</f>
        <v>14</v>
      </c>
      <c r="C15">
        <f>SQRT(Import!B15^2+Import!F15^2-Import!B15*Import!F15+3*Import!D15^2)</f>
        <v>126.71207386276564</v>
      </c>
      <c r="D15">
        <f>SQRT(Import!C15^2+Import!G15^2-Import!C15*Import!G15+3*Import!E15^2)</f>
        <v>272.86224811573265</v>
      </c>
      <c r="E15">
        <f>ABS(Import!H15)</f>
        <v>0</v>
      </c>
      <c r="F15">
        <f>ABS(Import!I15)</f>
        <v>0</v>
      </c>
      <c r="H15" s="8">
        <f t="shared" si="0"/>
        <v>2.7978391418639368</v>
      </c>
      <c r="I15" s="8">
        <f t="shared" si="0"/>
        <v>1.2992636484092617</v>
      </c>
    </row>
    <row r="16" spans="1:9">
      <c r="B16">
        <f>Import!A16</f>
        <v>15</v>
      </c>
      <c r="C16">
        <f>SQRT(Import!B16^2+Import!F16^2-Import!B16*Import!F16+3*Import!D16^2)</f>
        <v>127.77479942358111</v>
      </c>
      <c r="D16">
        <f>SQRT(Import!C16^2+Import!G16^2-Import!C16*Import!G16+3*Import!E16^2)</f>
        <v>269.39995788682768</v>
      </c>
      <c r="E16">
        <f>ABS(Import!H16)</f>
        <v>0</v>
      </c>
      <c r="F16">
        <f>ABS(Import!I16)</f>
        <v>0</v>
      </c>
      <c r="H16" s="8">
        <f t="shared" si="0"/>
        <v>2.7745690198639634</v>
      </c>
      <c r="I16" s="8">
        <f t="shared" si="0"/>
        <v>1.3159616014080091</v>
      </c>
    </row>
    <row r="17" spans="2:9">
      <c r="B17">
        <f>Import!A17</f>
        <v>16</v>
      </c>
      <c r="C17">
        <f>SQRT(Import!B17^2+Import!F17^2-Import!B17*Import!F17+3*Import!D17^2)</f>
        <v>128.0597590437828</v>
      </c>
      <c r="D17">
        <f>SQRT(Import!C17^2+Import!G17^2-Import!C17*Import!G17+3*Import!E17^2)</f>
        <v>269.55441453380638</v>
      </c>
      <c r="E17">
        <f>ABS(Import!H17)</f>
        <v>0</v>
      </c>
      <c r="F17">
        <f>ABS(Import!I17)</f>
        <v>0</v>
      </c>
      <c r="H17" s="8">
        <f t="shared" si="0"/>
        <v>2.7683950262532657</v>
      </c>
      <c r="I17" s="8">
        <f t="shared" si="0"/>
        <v>1.3152075458053296</v>
      </c>
    </row>
    <row r="18" spans="2:9">
      <c r="B18">
        <f>Import!A18</f>
        <v>17</v>
      </c>
      <c r="C18">
        <f>SQRT(Import!B18^2+Import!F18^2-Import!B18*Import!F18+3*Import!D18^2)</f>
        <v>126.36803231744015</v>
      </c>
      <c r="D18">
        <f>SQRT(Import!C18^2+Import!G18^2-Import!C18*Import!G18+3*Import!E18^2)</f>
        <v>272.83767730365122</v>
      </c>
      <c r="E18">
        <f>ABS(Import!H18)</f>
        <v>0</v>
      </c>
      <c r="F18">
        <f>ABS(Import!I18)</f>
        <v>0</v>
      </c>
      <c r="H18" s="8">
        <f t="shared" si="0"/>
        <v>2.8054563602718408</v>
      </c>
      <c r="I18" s="8">
        <f t="shared" si="0"/>
        <v>1.299380655573612</v>
      </c>
    </row>
    <row r="19" spans="2:9">
      <c r="B19">
        <f>Import!A19</f>
        <v>18</v>
      </c>
      <c r="C19">
        <f>SQRT(Import!B19^2+Import!F19^2-Import!B19*Import!F19+3*Import!D19^2)</f>
        <v>124.74822106333151</v>
      </c>
      <c r="D19">
        <f>SQRT(Import!C19^2+Import!G19^2-Import!C19*Import!G19+3*Import!E19^2)</f>
        <v>267.52968110303351</v>
      </c>
      <c r="E19">
        <f>ABS(Import!H19)</f>
        <v>0</v>
      </c>
      <c r="F19">
        <f>ABS(Import!I19)</f>
        <v>0</v>
      </c>
      <c r="H19" s="8">
        <f t="shared" si="0"/>
        <v>2.8418842126816313</v>
      </c>
      <c r="I19" s="8">
        <f t="shared" si="0"/>
        <v>1.3251613747614939</v>
      </c>
    </row>
    <row r="20" spans="2:9">
      <c r="B20">
        <f>Import!A20</f>
        <v>19</v>
      </c>
      <c r="C20">
        <f>SQRT(Import!B20^2+Import!F20^2-Import!B20*Import!F20+3*Import!D20^2)</f>
        <v>125.45650937979124</v>
      </c>
      <c r="D20">
        <f>SQRT(Import!C20^2+Import!G20^2-Import!C20*Import!G20+3*Import!E20^2)</f>
        <v>267.78245840428076</v>
      </c>
      <c r="E20">
        <f>ABS(Import!H20)</f>
        <v>0</v>
      </c>
      <c r="F20">
        <f>ABS(Import!I20)</f>
        <v>0</v>
      </c>
      <c r="H20" s="8">
        <f t="shared" si="0"/>
        <v>2.8258398209276709</v>
      </c>
      <c r="I20" s="8">
        <f t="shared" si="0"/>
        <v>1.3239104686415586</v>
      </c>
    </row>
    <row r="21" spans="2:9">
      <c r="B21">
        <f>Import!A21</f>
        <v>20</v>
      </c>
      <c r="C21">
        <f>SQRT(Import!B21^2+Import!F21^2-Import!B21*Import!F21+3*Import!D21^2)</f>
        <v>127.39814317180702</v>
      </c>
      <c r="D21">
        <f>SQRT(Import!C21^2+Import!G21^2-Import!C21*Import!G21+3*Import!E21^2)</f>
        <v>272.88475319673489</v>
      </c>
      <c r="E21">
        <f>ABS(Import!H21)</f>
        <v>0</v>
      </c>
      <c r="F21">
        <f>ABS(Import!I21)</f>
        <v>0</v>
      </c>
      <c r="H21" s="8">
        <f t="shared" si="0"/>
        <v>2.7827721124781246</v>
      </c>
      <c r="I21" s="8">
        <f t="shared" si="0"/>
        <v>1.299156496824909</v>
      </c>
    </row>
    <row r="22" spans="2:9">
      <c r="B22">
        <f>Import!A22</f>
        <v>21</v>
      </c>
      <c r="C22">
        <f>SQRT(Import!B22^2+Import!F22^2-Import!B22*Import!F22+3*Import!D22^2)</f>
        <v>128.09722593970611</v>
      </c>
      <c r="D22">
        <f>SQRT(Import!C22^2+Import!G22^2-Import!C22*Import!G22+3*Import!E22^2)</f>
        <v>269.40208178884194</v>
      </c>
      <c r="E22">
        <f>ABS(Import!H22)</f>
        <v>0</v>
      </c>
      <c r="F22">
        <f>ABS(Import!I22)</f>
        <v>0</v>
      </c>
      <c r="H22" s="8">
        <f t="shared" si="0"/>
        <v>2.7675853040476337</v>
      </c>
      <c r="I22" s="8">
        <f t="shared" si="0"/>
        <v>1.3159512266793607</v>
      </c>
    </row>
    <row r="23" spans="2:9">
      <c r="B23">
        <f>Import!A23</f>
        <v>22</v>
      </c>
      <c r="C23">
        <f>SQRT(Import!B23^2+Import!F23^2-Import!B23*Import!F23+3*Import!D23^2)</f>
        <v>128.8619186805916</v>
      </c>
      <c r="D23">
        <f>SQRT(Import!C23^2+Import!G23^2-Import!C23*Import!G23+3*Import!E23^2)</f>
        <v>269.1977056520401</v>
      </c>
      <c r="E23">
        <f>ABS(Import!H23)</f>
        <v>0</v>
      </c>
      <c r="F23">
        <f>ABS(Import!I23)</f>
        <v>0</v>
      </c>
      <c r="H23" s="8">
        <f t="shared" si="0"/>
        <v>2.7511618919685978</v>
      </c>
      <c r="I23" s="8">
        <f t="shared" si="0"/>
        <v>1.3169503029057976</v>
      </c>
    </row>
    <row r="24" spans="2:9">
      <c r="B24">
        <f>Import!A24</f>
        <v>23</v>
      </c>
      <c r="C24">
        <f>SQRT(Import!B24^2+Import!F24^2-Import!B24*Import!F24+3*Import!D24^2)</f>
        <v>132.67711271005393</v>
      </c>
      <c r="D24">
        <f>SQRT(Import!C24^2+Import!G24^2-Import!C24*Import!G24+3*Import!E24^2)</f>
        <v>273.61380485158548</v>
      </c>
      <c r="E24">
        <f>ABS(Import!H24)</f>
        <v>0</v>
      </c>
      <c r="F24">
        <f>ABS(Import!I24)</f>
        <v>0</v>
      </c>
      <c r="H24" s="8">
        <f t="shared" si="0"/>
        <v>2.6720509118611186</v>
      </c>
      <c r="I24" s="8">
        <f t="shared" si="0"/>
        <v>1.2956948579122309</v>
      </c>
    </row>
    <row r="25" spans="2:9">
      <c r="B25">
        <f>Import!A25</f>
        <v>24</v>
      </c>
      <c r="C25">
        <f>SQRT(Import!B25^2+Import!F25^2-Import!B25*Import!F25+3*Import!D25^2)</f>
        <v>130.5887153477552</v>
      </c>
      <c r="D25">
        <f>SQRT(Import!C25^2+Import!G25^2-Import!C25*Import!G25+3*Import!E25^2)</f>
        <v>270.27696044548691</v>
      </c>
      <c r="E25">
        <f>ABS(Import!H25)</f>
        <v>0</v>
      </c>
      <c r="F25">
        <f>ABS(Import!I25)</f>
        <v>0</v>
      </c>
      <c r="H25" s="8">
        <f t="shared" si="0"/>
        <v>2.7147828130165776</v>
      </c>
      <c r="I25" s="8">
        <f t="shared" si="0"/>
        <v>1.3116915308491652</v>
      </c>
    </row>
    <row r="26" spans="2:9">
      <c r="B26">
        <f>Import!A26</f>
        <v>25</v>
      </c>
      <c r="C26">
        <f>SQRT(Import!B26^2+Import!F26^2-Import!B26*Import!F26+3*Import!D26^2)</f>
        <v>129.26402441365704</v>
      </c>
      <c r="D26">
        <f>SQRT(Import!C26^2+Import!G26^2-Import!C26*Import!G26+3*Import!E26^2)</f>
        <v>267.9628132074987</v>
      </c>
      <c r="E26">
        <f>ABS(Import!H26)</f>
        <v>0</v>
      </c>
      <c r="F26">
        <f>ABS(Import!I26)</f>
        <v>0</v>
      </c>
      <c r="H26" s="8">
        <f t="shared" si="0"/>
        <v>2.7426037647219044</v>
      </c>
      <c r="I26" s="8">
        <f t="shared" si="0"/>
        <v>1.3230193986860228</v>
      </c>
    </row>
    <row r="27" spans="2:9">
      <c r="B27">
        <f>Import!A27</f>
        <v>26</v>
      </c>
      <c r="C27">
        <f>SQRT(Import!B27^2+Import!F27^2-Import!B27*Import!F27+3*Import!D27^2)</f>
        <v>133.20928179992546</v>
      </c>
      <c r="D27">
        <f>SQRT(Import!C27^2+Import!G27^2-Import!C27*Import!G27+3*Import!E27^2)</f>
        <v>273.98907818864802</v>
      </c>
      <c r="E27">
        <f>ABS(Import!H27)</f>
        <v>0</v>
      </c>
      <c r="F27">
        <f>ABS(Import!I27)</f>
        <v>0</v>
      </c>
      <c r="H27" s="8">
        <f t="shared" si="0"/>
        <v>2.6613761084041694</v>
      </c>
      <c r="I27" s="8">
        <f t="shared" si="0"/>
        <v>1.2939201896066255</v>
      </c>
    </row>
    <row r="28" spans="2:9">
      <c r="B28">
        <f>Import!A28</f>
        <v>27</v>
      </c>
      <c r="C28">
        <f>SQRT(Import!B28^2+Import!F28^2-Import!B28*Import!F28+3*Import!D28^2)</f>
        <v>135.29139627932452</v>
      </c>
      <c r="D28">
        <f>SQRT(Import!C28^2+Import!G28^2-Import!C28*Import!G28+3*Import!E28^2)</f>
        <v>271.80074723917659</v>
      </c>
      <c r="E28">
        <f>ABS(Import!H28)</f>
        <v>0</v>
      </c>
      <c r="F28">
        <f>ABS(Import!I28)</f>
        <v>0</v>
      </c>
      <c r="H28" s="8">
        <f t="shared" si="0"/>
        <v>2.620417925675429</v>
      </c>
      <c r="I28" s="8">
        <f t="shared" si="0"/>
        <v>1.304337841602889</v>
      </c>
    </row>
    <row r="29" spans="2:9">
      <c r="B29">
        <f>Import!A29</f>
        <v>28</v>
      </c>
      <c r="C29">
        <f>SQRT(Import!B29^2+Import!F29^2-Import!B29*Import!F29+3*Import!D29^2)</f>
        <v>112.0680400207348</v>
      </c>
      <c r="D29">
        <f>SQRT(Import!C29^2+Import!G29^2-Import!C29*Import!G29+3*Import!E29^2)</f>
        <v>273.88808041556661</v>
      </c>
      <c r="E29">
        <f>ABS(Import!H29)</f>
        <v>0</v>
      </c>
      <c r="F29">
        <f>ABS(Import!I29)</f>
        <v>0</v>
      </c>
      <c r="H29" s="8">
        <f t="shared" si="0"/>
        <v>3.1634353552931485</v>
      </c>
      <c r="I29" s="8">
        <f t="shared" si="0"/>
        <v>1.2943973299681084</v>
      </c>
    </row>
    <row r="30" spans="2:9">
      <c r="B30">
        <f>Import!A30</f>
        <v>29</v>
      </c>
      <c r="C30">
        <f>SQRT(Import!B30^2+Import!F30^2-Import!B30*Import!F30+3*Import!D30^2)</f>
        <v>123.00111752350566</v>
      </c>
      <c r="D30">
        <f>SQRT(Import!C30^2+Import!G30^2-Import!C30*Import!G30+3*Import!E30^2)</f>
        <v>272.83916193952655</v>
      </c>
      <c r="E30">
        <f>ABS(Import!H30)</f>
        <v>0</v>
      </c>
      <c r="F30">
        <f>ABS(Import!I30)</f>
        <v>0</v>
      </c>
      <c r="H30" s="8">
        <f t="shared" si="0"/>
        <v>2.8822502359155457</v>
      </c>
      <c r="I30" s="8">
        <f t="shared" si="0"/>
        <v>1.2993735850815198</v>
      </c>
    </row>
    <row r="31" spans="2:9">
      <c r="B31">
        <f>Import!A31</f>
        <v>30</v>
      </c>
      <c r="C31">
        <f>SQRT(Import!B31^2+Import!F31^2-Import!B31*Import!F31+3*Import!D31^2)</f>
        <v>102.51701374838233</v>
      </c>
      <c r="D31">
        <f>SQRT(Import!C31^2+Import!G31^2-Import!C31*Import!G31+3*Import!E31^2)</f>
        <v>268.98346621092418</v>
      </c>
      <c r="E31">
        <f>ABS(Import!H31)</f>
        <v>0</v>
      </c>
      <c r="F31">
        <f>ABS(Import!I31)</f>
        <v>0</v>
      </c>
      <c r="H31" s="8">
        <f t="shared" si="0"/>
        <v>3.4581576953668742</v>
      </c>
      <c r="I31" s="8">
        <f t="shared" si="0"/>
        <v>1.317999224985829</v>
      </c>
    </row>
    <row r="32" spans="2:9">
      <c r="B32">
        <f>Import!A32</f>
        <v>31</v>
      </c>
      <c r="C32">
        <f>SQRT(Import!B32^2 + Import!F32^2 - Import!B32*F32 + 3*Import!D32^2)</f>
        <v>0</v>
      </c>
      <c r="D32">
        <f>SQRT(Import!C32^2 + Import!G32^2 - Import!C32*Import!G32 + 3*Import!E32^2)</f>
        <v>0</v>
      </c>
      <c r="E32">
        <f>ABS(Import!H32)</f>
        <v>0</v>
      </c>
      <c r="F32">
        <f>ABS(Import!I32)</f>
        <v>0</v>
      </c>
      <c r="H32" t="str">
        <f t="shared" si="0"/>
        <v>NaN</v>
      </c>
      <c r="I32" t="str">
        <f t="shared" si="0"/>
        <v>NaN</v>
      </c>
    </row>
    <row r="33" spans="2:9">
      <c r="B33">
        <f>Import!A33</f>
        <v>32</v>
      </c>
      <c r="C33">
        <f>SQRT(Import!B33^2 + Import!F33^2 - Import!B33*F33 + 3*Import!D33^2)</f>
        <v>0</v>
      </c>
      <c r="D33">
        <f>SQRT(Import!C33^2 + Import!G33^2 - Import!C33*Import!G33 + 3*Import!E33^2)</f>
        <v>0</v>
      </c>
      <c r="E33">
        <f>ABS(Import!H33)</f>
        <v>0</v>
      </c>
      <c r="F33">
        <f>ABS(Import!I33)</f>
        <v>0</v>
      </c>
      <c r="H33" t="str">
        <f t="shared" si="0"/>
        <v>NaN</v>
      </c>
      <c r="I33" t="str">
        <f t="shared" si="0"/>
        <v>NaN</v>
      </c>
    </row>
    <row r="34" spans="2:9">
      <c r="B34">
        <f>Import!A34</f>
        <v>33</v>
      </c>
      <c r="C34">
        <f>SQRT(Import!B34^2 + Import!F34^2 - Import!B34*F34 + 3*Import!D34^2)</f>
        <v>0</v>
      </c>
      <c r="D34">
        <f>SQRT(Import!C34^2 + Import!G34^2 - Import!C34*Import!G34 + 3*Import!E34^2)</f>
        <v>0</v>
      </c>
      <c r="E34">
        <f>ABS(Import!H34)</f>
        <v>0</v>
      </c>
      <c r="F34">
        <f>ABS(Import!I34)</f>
        <v>0</v>
      </c>
      <c r="H34" t="str">
        <f t="shared" si="0"/>
        <v>NaN</v>
      </c>
      <c r="I34" t="str">
        <f t="shared" si="0"/>
        <v>NaN</v>
      </c>
    </row>
    <row r="35" spans="2:9">
      <c r="B35">
        <f>Import!A35</f>
        <v>34</v>
      </c>
      <c r="C35">
        <f>SQRT(Import!B35^2 + Import!F35^2 - Import!B35*F35 + 3*Import!D35^2)</f>
        <v>0</v>
      </c>
      <c r="D35">
        <f>SQRT(Import!C35^2 + Import!G35^2 - Import!C35*Import!G35 + 3*Import!E35^2)</f>
        <v>0</v>
      </c>
      <c r="E35">
        <f>ABS(Import!H35)</f>
        <v>0</v>
      </c>
      <c r="F35">
        <f>ABS(Import!I35)</f>
        <v>0</v>
      </c>
      <c r="H35" t="str">
        <f t="shared" si="0"/>
        <v>NaN</v>
      </c>
      <c r="I35" t="str">
        <f t="shared" si="0"/>
        <v>NaN</v>
      </c>
    </row>
    <row r="36" spans="2:9">
      <c r="B36">
        <f>Import!A36</f>
        <v>35</v>
      </c>
      <c r="C36">
        <f>SQRT(Import!B36^2 + Import!F36^2 - Import!B36*F36 + 3*Import!D36^2)</f>
        <v>0</v>
      </c>
      <c r="D36">
        <f>SQRT(Import!C36^2 + Import!G36^2 - Import!C36*Import!G36 + 3*Import!E36^2)</f>
        <v>0</v>
      </c>
      <c r="E36">
        <f>ABS(Import!H36)</f>
        <v>0</v>
      </c>
      <c r="F36">
        <f>ABS(Import!I36)</f>
        <v>0</v>
      </c>
      <c r="H36" t="str">
        <f t="shared" si="0"/>
        <v>NaN</v>
      </c>
      <c r="I36" t="str">
        <f t="shared" si="0"/>
        <v>NaN</v>
      </c>
    </row>
    <row r="37" spans="2:9">
      <c r="B37">
        <f>Import!A37</f>
        <v>36</v>
      </c>
      <c r="C37">
        <f>SQRT(Import!B37^2 + Import!F37^2 - Import!B37*F37 + 3*Import!D37^2)</f>
        <v>0</v>
      </c>
      <c r="D37">
        <f>SQRT(Import!C37^2 + Import!G37^2 - Import!C37*Import!G37 + 3*Import!E37^2)</f>
        <v>0</v>
      </c>
      <c r="E37">
        <f>ABS(Import!H37)</f>
        <v>0</v>
      </c>
      <c r="F37">
        <f>ABS(Import!I37)</f>
        <v>0</v>
      </c>
      <c r="H37" t="str">
        <f t="shared" si="0"/>
        <v>NaN</v>
      </c>
      <c r="I37" t="str">
        <f t="shared" si="0"/>
        <v>NaN</v>
      </c>
    </row>
    <row r="38" spans="2:9">
      <c r="B38">
        <f>Import!A38</f>
        <v>37</v>
      </c>
      <c r="C38">
        <f>SQRT(Import!B38^2 + Import!F38^2 - Import!B38*F38 + 3*Import!D38^2)</f>
        <v>0</v>
      </c>
      <c r="D38">
        <f>SQRT(Import!C38^2 + Import!G38^2 - Import!C38*Import!G38 + 3*Import!E38^2)</f>
        <v>0</v>
      </c>
      <c r="E38">
        <f>ABS(Import!H38)</f>
        <v>84.510917663574006</v>
      </c>
      <c r="F38">
        <f>ABS(Import!I38)</f>
        <v>26.74822807312</v>
      </c>
      <c r="H38" s="8">
        <f t="shared" si="0"/>
        <v>4.194960956539294</v>
      </c>
      <c r="I38" s="8">
        <f t="shared" si="0"/>
        <v>13.253962058005124</v>
      </c>
    </row>
    <row r="39" spans="2:9">
      <c r="B39">
        <f>Import!A39</f>
        <v>38</v>
      </c>
      <c r="C39">
        <f>SQRT(Import!B39^2 + Import!F39^2 - Import!B39*F39 + 3*Import!D39^2)</f>
        <v>0</v>
      </c>
      <c r="D39">
        <f>SQRT(Import!C39^2 + Import!G39^2 - Import!C39*Import!G39 + 3*Import!E39^2)</f>
        <v>0</v>
      </c>
      <c r="E39">
        <f>ABS(Import!H39)</f>
        <v>76.450065612792997</v>
      </c>
      <c r="F39">
        <f>ABS(Import!I39)</f>
        <v>25.156949996948001</v>
      </c>
      <c r="H39" s="8">
        <f t="shared" si="0"/>
        <v>4.6372752875790253</v>
      </c>
      <c r="I39" s="8">
        <f t="shared" si="0"/>
        <v>14.092328364249632</v>
      </c>
    </row>
    <row r="40" spans="2:9">
      <c r="B40">
        <f>Import!A40</f>
        <v>39</v>
      </c>
      <c r="C40">
        <f>SQRT(Import!B40^2 + Import!F40^2 - Import!B40*F40 + 3*Import!D40^2)</f>
        <v>0</v>
      </c>
      <c r="D40">
        <f>SQRT(Import!C40^2 + Import!G40^2 - Import!C40*Import!G40 + 3*Import!E40^2)</f>
        <v>0</v>
      </c>
      <c r="E40">
        <f>ABS(Import!H40)</f>
        <v>85.092254638672003</v>
      </c>
      <c r="F40">
        <f>ABS(Import!I40)</f>
        <v>29.045667648315</v>
      </c>
      <c r="H40" s="8">
        <f t="shared" si="0"/>
        <v>4.1663016393842351</v>
      </c>
      <c r="I40" s="8">
        <f t="shared" si="0"/>
        <v>12.205606849617949</v>
      </c>
    </row>
    <row r="41" spans="2:9">
      <c r="B41">
        <f>Import!A41</f>
        <v>40</v>
      </c>
      <c r="C41">
        <f>SQRT(Import!B41^2 + Import!F41^2 - Import!B41*F41 + 3*Import!D41^2)</f>
        <v>0</v>
      </c>
      <c r="D41">
        <f>SQRT(Import!C41^2 + Import!G41^2 - Import!C41*Import!G41 + 3*Import!E41^2)</f>
        <v>0</v>
      </c>
      <c r="E41">
        <f>ABS(Import!H41)</f>
        <v>85.122329711914006</v>
      </c>
      <c r="F41">
        <f>ABS(Import!I41)</f>
        <v>28.03297996521</v>
      </c>
      <c r="H41" s="8">
        <f t="shared" si="0"/>
        <v>4.1648296187361069</v>
      </c>
      <c r="I41" s="8">
        <f t="shared" si="0"/>
        <v>12.646532778176736</v>
      </c>
    </row>
    <row r="42" spans="2:9">
      <c r="B42">
        <f>Import!A42</f>
        <v>41</v>
      </c>
      <c r="C42">
        <f>SQRT(Import!B42^2 + Import!F42^2 - Import!B42*F42 + 3*Import!D42^2)</f>
        <v>0</v>
      </c>
      <c r="D42">
        <f>SQRT(Import!C42^2 + Import!G42^2 - Import!C42*Import!G42 + 3*Import!E42^2)</f>
        <v>0</v>
      </c>
      <c r="E42">
        <f>ABS(Import!H42)</f>
        <v>88.499740600585994</v>
      </c>
      <c r="F42">
        <f>ABS(Import!I42)</f>
        <v>29.122882843018001</v>
      </c>
      <c r="H42" s="8">
        <f t="shared" si="0"/>
        <v>4.0058874477384911</v>
      </c>
      <c r="I42" s="8">
        <f t="shared" si="0"/>
        <v>12.173245413614456</v>
      </c>
    </row>
    <row r="43" spans="2:9">
      <c r="B43">
        <f>Import!A43</f>
        <v>42</v>
      </c>
      <c r="C43">
        <f>SQRT(Import!B43^2 + Import!F43^2 - Import!B43*F43 + 3*Import!D43^2)</f>
        <v>0</v>
      </c>
      <c r="D43">
        <f>SQRT(Import!C43^2 + Import!G43^2 - Import!C43*Import!G43 + 3*Import!E43^2)</f>
        <v>0</v>
      </c>
      <c r="E43">
        <f>ABS(Import!H43)</f>
        <v>85.10782623291</v>
      </c>
      <c r="F43">
        <f>ABS(Import!I43)</f>
        <v>27.97695350647</v>
      </c>
      <c r="H43" s="8">
        <f t="shared" si="0"/>
        <v>4.1655393597975845</v>
      </c>
      <c r="I43" s="8">
        <f t="shared" si="0"/>
        <v>12.671858639576786</v>
      </c>
    </row>
    <row r="44" spans="2:9">
      <c r="B44">
        <f>Import!A44</f>
        <v>43</v>
      </c>
      <c r="C44">
        <f>SQRT(Import!B44^2 + Import!F44^2 - Import!B44*F44 + 3*Import!D44^2)</f>
        <v>0</v>
      </c>
      <c r="D44">
        <f>SQRT(Import!C44^2 + Import!G44^2 - Import!C44*Import!G44 + 3*Import!E44^2)</f>
        <v>0</v>
      </c>
      <c r="E44">
        <f>ABS(Import!H44)</f>
        <v>73.137466430664006</v>
      </c>
      <c r="F44">
        <f>ABS(Import!I44)</f>
        <v>24.112689971923999</v>
      </c>
      <c r="H44" s="8">
        <f t="shared" si="0"/>
        <v>4.8473103773165711</v>
      </c>
      <c r="I44" s="8">
        <f t="shared" si="0"/>
        <v>14.702631701929196</v>
      </c>
    </row>
    <row r="45" spans="2:9">
      <c r="B45">
        <f>Import!A45</f>
        <v>44</v>
      </c>
      <c r="C45">
        <f>SQRT(Import!B45^2 + Import!F45^2 - Import!B45*F45 + 3*Import!D45^2)</f>
        <v>0</v>
      </c>
      <c r="D45">
        <f>SQRT(Import!C45^2 + Import!G45^2 - Import!C45*Import!G45 + 3*Import!E45^2)</f>
        <v>0</v>
      </c>
      <c r="E45">
        <f>ABS(Import!H45)</f>
        <v>73.509140014647997</v>
      </c>
      <c r="F45">
        <f>ABS(Import!I45)</f>
        <v>24.182792663573998</v>
      </c>
      <c r="H45" s="8">
        <f t="shared" si="0"/>
        <v>4.8228016261563607</v>
      </c>
      <c r="I45" s="8">
        <f t="shared" si="0"/>
        <v>14.660010732921078</v>
      </c>
    </row>
    <row r="46" spans="2:9">
      <c r="B46">
        <f>Import!A46</f>
        <v>45</v>
      </c>
      <c r="C46">
        <f>SQRT(Import!B46^2 + Import!F46^2 - Import!B46*F46 + 3*Import!D46^2)</f>
        <v>0</v>
      </c>
      <c r="D46">
        <f>SQRT(Import!C46^2 + Import!G46^2 - Import!C46*Import!G46 + 3*Import!E46^2)</f>
        <v>0</v>
      </c>
      <c r="E46">
        <f>ABS(Import!H46)</f>
        <v>73.11319732666</v>
      </c>
      <c r="F46">
        <f>ABS(Import!I46)</f>
        <v>24.012451171875</v>
      </c>
      <c r="H46" s="8">
        <f t="shared" si="0"/>
        <v>4.8489193875088237</v>
      </c>
      <c r="I46" s="8">
        <f t="shared" si="0"/>
        <v>14.764007117075899</v>
      </c>
    </row>
    <row r="47" spans="2:9">
      <c r="B47">
        <f>Import!A47</f>
        <v>46</v>
      </c>
      <c r="C47">
        <f>SQRT(Import!B47^2 + Import!F47^2 - Import!B47*F47 + 3*Import!D47^2)</f>
        <v>0</v>
      </c>
      <c r="D47">
        <f>SQRT(Import!C47^2 + Import!G47^2 - Import!C47*Import!G47 + 3*Import!E47^2)</f>
        <v>0</v>
      </c>
      <c r="E47">
        <f>ABS(Import!H47)</f>
        <v>83.890106201172003</v>
      </c>
      <c r="F47">
        <f>ABS(Import!I47)</f>
        <v>27.580795288086001</v>
      </c>
      <c r="H47" s="8">
        <f t="shared" si="0"/>
        <v>4.2260049015773813</v>
      </c>
      <c r="I47" s="8">
        <f t="shared" si="0"/>
        <v>12.853871554354379</v>
      </c>
    </row>
    <row r="48" spans="2:9">
      <c r="B48">
        <f>Import!A48</f>
        <v>47</v>
      </c>
      <c r="C48">
        <f>SQRT(Import!B48^2 + Import!F48^2 - Import!B48*F48 + 3*Import!D48^2)</f>
        <v>0</v>
      </c>
      <c r="D48">
        <f>SQRT(Import!C48^2 + Import!G48^2 - Import!C48*Import!G48 + 3*Import!E48^2)</f>
        <v>0</v>
      </c>
      <c r="E48">
        <f>ABS(Import!H48)</f>
        <v>84.565605163574006</v>
      </c>
      <c r="F48">
        <f>ABS(Import!I48)</f>
        <v>27.824998855591002</v>
      </c>
      <c r="H48" s="8">
        <f t="shared" si="0"/>
        <v>4.1922481287073765</v>
      </c>
      <c r="I48" s="8">
        <f t="shared" si="0"/>
        <v>12.741060721688573</v>
      </c>
    </row>
    <row r="49" spans="2:9">
      <c r="B49">
        <f>Import!A49</f>
        <v>48</v>
      </c>
      <c r="C49">
        <f>SQRT(Import!B49^2 + Import!F49^2 - Import!B49*F49 + 3*Import!D49^2)</f>
        <v>0</v>
      </c>
      <c r="D49">
        <f>SQRT(Import!C49^2 + Import!G49^2 - Import!C49*Import!G49 + 3*Import!E49^2)</f>
        <v>0</v>
      </c>
      <c r="E49">
        <f>ABS(Import!H49)</f>
        <v>83.903129577637003</v>
      </c>
      <c r="F49">
        <f>ABS(Import!I49)</f>
        <v>27.630136489868001</v>
      </c>
      <c r="H49" s="8">
        <f t="shared" si="0"/>
        <v>4.2253489444867078</v>
      </c>
      <c r="I49" s="8">
        <f t="shared" si="0"/>
        <v>12.830917434302316</v>
      </c>
    </row>
    <row r="50" spans="2:9">
      <c r="B50">
        <f>Import!A50</f>
        <v>49</v>
      </c>
      <c r="C50">
        <f>SQRT(Import!B50^2 + Import!F50^2 - Import!B50*F50 + 3*Import!D50^2)</f>
        <v>0</v>
      </c>
      <c r="D50">
        <f>SQRT(Import!C50^2 + Import!G50^2 - Import!C50*Import!G50 + 3*Import!E50^2)</f>
        <v>0</v>
      </c>
      <c r="E50">
        <f>ABS(Import!H50)</f>
        <v>73.250267028809006</v>
      </c>
      <c r="F50">
        <f>ABS(Import!I50)</f>
        <v>24.097608566283998</v>
      </c>
      <c r="H50" s="8">
        <f t="shared" si="0"/>
        <v>4.8398458378393192</v>
      </c>
      <c r="I50" s="8">
        <f t="shared" si="0"/>
        <v>14.711833293533706</v>
      </c>
    </row>
    <row r="51" spans="2:9">
      <c r="B51">
        <f>Import!A51</f>
        <v>50</v>
      </c>
      <c r="C51">
        <f>SQRT(Import!B51^2 + Import!F51^2 - Import!B51*F51 + 3*Import!D51^2)</f>
        <v>0</v>
      </c>
      <c r="D51">
        <f>SQRT(Import!C51^2 + Import!G51^2 - Import!C51*Import!G51 + 3*Import!E51^2)</f>
        <v>0</v>
      </c>
      <c r="E51">
        <f>ABS(Import!H51)</f>
        <v>73.620880126952997</v>
      </c>
      <c r="F51">
        <f>ABS(Import!I51)</f>
        <v>24.224504470825</v>
      </c>
      <c r="H51" s="8">
        <f t="shared" si="0"/>
        <v>4.8154816865631078</v>
      </c>
      <c r="I51" s="8">
        <f t="shared" si="0"/>
        <v>14.634767882536847</v>
      </c>
    </row>
    <row r="52" spans="2:9">
      <c r="B52">
        <f>Import!A52</f>
        <v>51</v>
      </c>
      <c r="C52">
        <f>SQRT(Import!B52^2 + Import!F52^2 - Import!B52*F52 + 3*Import!D52^2)</f>
        <v>0</v>
      </c>
      <c r="D52">
        <f>SQRT(Import!C52^2 + Import!G52^2 - Import!C52*Import!G52 + 3*Import!E52^2)</f>
        <v>0</v>
      </c>
      <c r="E52">
        <f>ABS(Import!H52)</f>
        <v>73.252998352050994</v>
      </c>
      <c r="F52">
        <f>ABS(Import!I52)</f>
        <v>24.107849121093999</v>
      </c>
      <c r="H52" s="8">
        <f t="shared" si="0"/>
        <v>4.8396653785581716</v>
      </c>
      <c r="I52" s="8">
        <f t="shared" si="0"/>
        <v>14.705583987158789</v>
      </c>
    </row>
    <row r="53" spans="2:9">
      <c r="B53">
        <f>Import!A53</f>
        <v>52</v>
      </c>
      <c r="C53">
        <f>SQRT(Import!B53^2 + Import!F53^2 - Import!B53*F53 + 3*Import!D53^2)</f>
        <v>0</v>
      </c>
      <c r="D53">
        <f>SQRT(Import!C53^2 + Import!G53^2 - Import!C53*Import!G53 + 3*Import!E53^2)</f>
        <v>0</v>
      </c>
      <c r="E53">
        <f>ABS(Import!H53)</f>
        <v>83.816162109375</v>
      </c>
      <c r="F53">
        <f>ABS(Import!I53)</f>
        <v>27.594072341918999</v>
      </c>
      <c r="H53" s="8">
        <f t="shared" si="0"/>
        <v>4.2297331573995587</v>
      </c>
      <c r="I53" s="8">
        <f t="shared" si="0"/>
        <v>12.847686836764497</v>
      </c>
    </row>
    <row r="54" spans="2:9">
      <c r="B54">
        <f>Import!A54</f>
        <v>53</v>
      </c>
      <c r="C54">
        <f>SQRT(Import!B54^2 + Import!F54^2 - Import!B54*F54 + 3*Import!D54^2)</f>
        <v>0</v>
      </c>
      <c r="D54">
        <f>SQRT(Import!C54^2 + Import!G54^2 - Import!C54*Import!G54 + 3*Import!E54^2)</f>
        <v>0</v>
      </c>
      <c r="E54">
        <f>ABS(Import!H54)</f>
        <v>84.017059326172003</v>
      </c>
      <c r="F54">
        <f>ABS(Import!I54)</f>
        <v>27.644832611083999</v>
      </c>
      <c r="H54" s="8">
        <f t="shared" si="0"/>
        <v>4.2196192397508021</v>
      </c>
      <c r="I54" s="8">
        <f t="shared" si="0"/>
        <v>12.824096459092239</v>
      </c>
    </row>
    <row r="55" spans="2:9">
      <c r="B55">
        <f>Import!A55</f>
        <v>54</v>
      </c>
      <c r="C55">
        <f>SQRT(Import!B55^2 + Import!F55^2 - Import!B55*F55 + 3*Import!D55^2)</f>
        <v>0</v>
      </c>
      <c r="D55">
        <f>SQRT(Import!C55^2 + Import!G55^2 - Import!C55*Import!G55 + 3*Import!E55^2)</f>
        <v>0</v>
      </c>
      <c r="E55">
        <f>ABS(Import!H55)</f>
        <v>83.806495666504006</v>
      </c>
      <c r="F55">
        <f>ABS(Import!I55)</f>
        <v>27.559341430663999</v>
      </c>
      <c r="H55" s="8">
        <f t="shared" si="0"/>
        <v>4.2302210249998016</v>
      </c>
      <c r="I55" s="8">
        <f t="shared" si="0"/>
        <v>12.863877785030889</v>
      </c>
    </row>
    <row r="56" spans="2:9">
      <c r="B56">
        <f>Import!A56</f>
        <v>55</v>
      </c>
      <c r="C56">
        <f>SQRT(Import!B56^2 + Import!F56^2 - Import!B56*F56 + 3*Import!D56^2)</f>
        <v>0</v>
      </c>
      <c r="D56">
        <f>SQRT(Import!C56^2 + Import!G56^2 - Import!C56*Import!G56 + 3*Import!E56^2)</f>
        <v>0</v>
      </c>
      <c r="E56">
        <f>ABS(Import!H56)</f>
        <v>72.410865783690994</v>
      </c>
      <c r="F56">
        <f>ABS(Import!I56)</f>
        <v>23.74818611145</v>
      </c>
      <c r="H56" s="8">
        <f t="shared" si="0"/>
        <v>4.895950299213907</v>
      </c>
      <c r="I56" s="8">
        <f t="shared" si="0"/>
        <v>14.928298032373553</v>
      </c>
    </row>
    <row r="57" spans="2:9">
      <c r="B57">
        <f>Import!A57</f>
        <v>56</v>
      </c>
      <c r="C57">
        <f>SQRT(Import!B57^2 + Import!F57^2 - Import!B57*F57 + 3*Import!D57^2)</f>
        <v>0</v>
      </c>
      <c r="D57">
        <f>SQRT(Import!C57^2 + Import!G57^2 - Import!C57*Import!G57 + 3*Import!E57^2)</f>
        <v>0</v>
      </c>
      <c r="E57">
        <f>ABS(Import!H57)</f>
        <v>72.49976348877</v>
      </c>
      <c r="F57">
        <f>ABS(Import!I57)</f>
        <v>23.854387283325</v>
      </c>
      <c r="H57" s="8">
        <f t="shared" si="0"/>
        <v>4.8899469865845022</v>
      </c>
      <c r="I57" s="8">
        <f t="shared" si="0"/>
        <v>14.861836348562225</v>
      </c>
    </row>
    <row r="58" spans="2:9">
      <c r="B58">
        <f>Import!A58</f>
        <v>57</v>
      </c>
      <c r="C58">
        <f>SQRT(Import!B58^2 + Import!F58^2 - Import!B58*F58 + 3*Import!D58^2)</f>
        <v>0</v>
      </c>
      <c r="D58">
        <f>SQRT(Import!C58^2 + Import!G58^2 - Import!C58*Import!G58 + 3*Import!E58^2)</f>
        <v>0</v>
      </c>
      <c r="E58">
        <f>ABS(Import!H58)</f>
        <v>72.452705383300994</v>
      </c>
      <c r="F58">
        <f>ABS(Import!I58)</f>
        <v>23.915967941283998</v>
      </c>
      <c r="H58" s="8">
        <f t="shared" si="0"/>
        <v>4.8931230121009435</v>
      </c>
      <c r="I58" s="8">
        <f t="shared" si="0"/>
        <v>14.823568959047806</v>
      </c>
    </row>
    <row r="59" spans="2:9">
      <c r="B59">
        <f>Import!A59</f>
        <v>58</v>
      </c>
      <c r="C59">
        <f>SQRT(Import!B59^2 + Import!F59^2 - Import!B59*F59 + 3*Import!D59^2)</f>
        <v>0</v>
      </c>
      <c r="D59">
        <f>SQRT(Import!C59^2 + Import!G59^2 - Import!C59*Import!G59 + 3*Import!E59^2)</f>
        <v>0</v>
      </c>
      <c r="E59">
        <f>ABS(Import!H59)</f>
        <v>72.377990722655994</v>
      </c>
      <c r="F59">
        <f>ABS(Import!I59)</f>
        <v>23.768032073975</v>
      </c>
      <c r="H59" s="8">
        <f t="shared" si="0"/>
        <v>4.8981741059720658</v>
      </c>
      <c r="I59" s="8">
        <f t="shared" si="0"/>
        <v>14.915833119738364</v>
      </c>
    </row>
    <row r="60" spans="2:9">
      <c r="B60">
        <f>Import!A60</f>
        <v>59</v>
      </c>
      <c r="C60">
        <f>SQRT(Import!B60^2 + Import!F60^2 - Import!B60*F60 + 3*Import!D60^2)</f>
        <v>0</v>
      </c>
      <c r="D60">
        <f>SQRT(Import!C60^2 + Import!G60^2 - Import!C60*Import!G60 + 3*Import!E60^2)</f>
        <v>0</v>
      </c>
      <c r="E60">
        <f>ABS(Import!H60)</f>
        <v>75.352951049805</v>
      </c>
      <c r="F60">
        <f>ABS(Import!I60)</f>
        <v>24.793008804321001</v>
      </c>
      <c r="H60" s="8">
        <f t="shared" si="0"/>
        <v>4.7047925139080196</v>
      </c>
      <c r="I60" s="8">
        <f t="shared" si="0"/>
        <v>14.29919227626028</v>
      </c>
    </row>
    <row r="61" spans="2:9">
      <c r="B61">
        <f>Import!A61</f>
        <v>60</v>
      </c>
      <c r="C61">
        <f>SQRT(Import!B61^2 + Import!F61^2 - Import!B61*F61 + 3*Import!D61^2)</f>
        <v>0</v>
      </c>
      <c r="D61">
        <f>SQRT(Import!C61^2 + Import!G61^2 - Import!C61*Import!G61 + 3*Import!E61^2)</f>
        <v>0</v>
      </c>
      <c r="E61">
        <f>ABS(Import!H61)</f>
        <v>72.404121398925994</v>
      </c>
      <c r="F61">
        <f>ABS(Import!I61)</f>
        <v>23.86905670166</v>
      </c>
      <c r="H61" s="8">
        <f t="shared" si="0"/>
        <v>4.8964063529850215</v>
      </c>
      <c r="I61" s="8">
        <f t="shared" si="0"/>
        <v>14.852702577699457</v>
      </c>
    </row>
    <row r="62" spans="2:9">
      <c r="B62">
        <f>Import!A62</f>
        <v>61</v>
      </c>
      <c r="C62">
        <f>SQRT(Import!B62^2 + Import!F62^2 - Import!B62*F62 + 3*Import!D62^2)</f>
        <v>0</v>
      </c>
      <c r="D62">
        <f>SQRT(Import!C62^2 + Import!G62^2 - Import!C62*Import!G62 + 3*Import!E62^2)</f>
        <v>0</v>
      </c>
      <c r="E62">
        <f>ABS(Import!H62)</f>
        <v>69.960311889647997</v>
      </c>
      <c r="F62">
        <f>ABS(Import!I62)</f>
        <v>24.005712509155</v>
      </c>
      <c r="H62" s="8">
        <f t="shared" si="0"/>
        <v>5.0674445328260198</v>
      </c>
      <c r="I62" s="8">
        <f t="shared" si="0"/>
        <v>14.768151533298484</v>
      </c>
    </row>
    <row r="63" spans="2:9">
      <c r="B63">
        <f>Import!A63</f>
        <v>62</v>
      </c>
      <c r="C63">
        <f>SQRT(Import!B63^2 + Import!F63^2 - Import!B63*F63 + 3*Import!D63^2)</f>
        <v>0</v>
      </c>
      <c r="D63">
        <f>SQRT(Import!C63^2 + Import!G63^2 - Import!C63*Import!G63 + 3*Import!E63^2)</f>
        <v>0</v>
      </c>
      <c r="E63">
        <f>ABS(Import!H63)</f>
        <v>62.794387817382997</v>
      </c>
      <c r="F63">
        <f>ABS(Import!I63)</f>
        <v>20.661027908325</v>
      </c>
      <c r="H63" s="8">
        <f t="shared" si="0"/>
        <v>5.6457274658207641</v>
      </c>
      <c r="I63" s="8">
        <f t="shared" si="0"/>
        <v>17.158875229879165</v>
      </c>
    </row>
    <row r="64" spans="2:9">
      <c r="B64">
        <f>Import!A64</f>
        <v>63</v>
      </c>
      <c r="C64">
        <f>SQRT(Import!B64^2 + Import!F64^2 - Import!B64*F64 + 3*Import!D64^2)</f>
        <v>0</v>
      </c>
      <c r="D64">
        <f>SQRT(Import!C64^2 + Import!G64^2 - Import!C64*Import!G64 + 3*Import!E64^2)</f>
        <v>0</v>
      </c>
      <c r="E64">
        <f>ABS(Import!H64)</f>
        <v>69.415634155272997</v>
      </c>
      <c r="F64">
        <f>ABS(Import!I64)</f>
        <v>21.853281021118001</v>
      </c>
      <c r="H64" s="8">
        <f t="shared" si="0"/>
        <v>5.1072068175159018</v>
      </c>
      <c r="I64" s="8">
        <f t="shared" si="0"/>
        <v>16.222735600087155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8FFE-28C2-204C-8C1A-EEB2CFFFCF10}">
  <dimension ref="A1:O43"/>
  <sheetViews>
    <sheetView zoomScale="55" zoomScaleNormal="55" workbookViewId="0">
      <selection activeCell="F45" sqref="F45"/>
    </sheetView>
  </sheetViews>
  <sheetFormatPr baseColWidth="10" defaultRowHeight="15.6"/>
  <cols>
    <col min="1" max="1" width="16.19921875" customWidth="1"/>
    <col min="2" max="2" width="25.5" bestFit="1" customWidth="1"/>
  </cols>
  <sheetData>
    <row r="1" spans="1:15">
      <c r="A1" s="21" t="s">
        <v>62</v>
      </c>
      <c r="B1" s="21"/>
      <c r="D1" s="21" t="s">
        <v>64</v>
      </c>
      <c r="E1" s="21"/>
      <c r="G1" t="s">
        <v>87</v>
      </c>
      <c r="H1">
        <v>3.9</v>
      </c>
      <c r="K1" s="22" t="s">
        <v>62</v>
      </c>
      <c r="L1" s="22"/>
      <c r="M1" s="19"/>
      <c r="N1" s="22" t="s">
        <v>64</v>
      </c>
      <c r="O1" s="22"/>
    </row>
    <row r="2" spans="1:15">
      <c r="A2" t="s">
        <v>63</v>
      </c>
      <c r="B2">
        <v>4</v>
      </c>
      <c r="D2" t="s">
        <v>63</v>
      </c>
      <c r="E2">
        <v>5</v>
      </c>
      <c r="G2" t="s">
        <v>34</v>
      </c>
      <c r="H2">
        <v>600</v>
      </c>
      <c r="K2" s="19" t="s">
        <v>63</v>
      </c>
      <c r="L2" s="19">
        <v>4</v>
      </c>
      <c r="M2" s="19"/>
      <c r="N2" s="19" t="s">
        <v>63</v>
      </c>
      <c r="O2" s="19">
        <v>5</v>
      </c>
    </row>
    <row r="3" spans="1:15">
      <c r="A3" t="s">
        <v>65</v>
      </c>
      <c r="B3">
        <v>65</v>
      </c>
      <c r="D3" t="s">
        <v>65</v>
      </c>
      <c r="E3">
        <v>28</v>
      </c>
      <c r="G3" t="s">
        <v>35</v>
      </c>
      <c r="H3">
        <v>200</v>
      </c>
      <c r="K3" s="19" t="s">
        <v>65</v>
      </c>
      <c r="L3" s="19">
        <v>65</v>
      </c>
      <c r="M3" s="19"/>
      <c r="N3" s="19" t="s">
        <v>65</v>
      </c>
      <c r="O3" s="19">
        <v>28</v>
      </c>
    </row>
    <row r="4" spans="1:15">
      <c r="A4" t="s">
        <v>66</v>
      </c>
      <c r="B4">
        <v>42</v>
      </c>
      <c r="D4" t="s">
        <v>66</v>
      </c>
      <c r="E4">
        <v>2.4</v>
      </c>
      <c r="K4" s="19" t="s">
        <v>66</v>
      </c>
      <c r="L4" s="19">
        <v>42</v>
      </c>
      <c r="M4" s="19"/>
      <c r="N4" s="19" t="s">
        <v>66</v>
      </c>
      <c r="O4" s="19">
        <v>2.4</v>
      </c>
    </row>
    <row r="5" spans="1:15">
      <c r="A5" t="s">
        <v>67</v>
      </c>
      <c r="B5">
        <v>3</v>
      </c>
      <c r="D5" t="s">
        <v>67</v>
      </c>
      <c r="E5">
        <v>20</v>
      </c>
      <c r="K5" s="19" t="s">
        <v>67</v>
      </c>
      <c r="L5" s="19">
        <v>3</v>
      </c>
      <c r="M5" s="19"/>
      <c r="N5" s="19" t="s">
        <v>67</v>
      </c>
      <c r="O5" s="19">
        <v>20</v>
      </c>
    </row>
    <row r="6" spans="1:15" ht="16.8">
      <c r="A6" t="s">
        <v>68</v>
      </c>
      <c r="B6">
        <v>20</v>
      </c>
      <c r="D6" t="s">
        <v>68</v>
      </c>
      <c r="E6" s="11">
        <v>15</v>
      </c>
      <c r="K6" s="19" t="s">
        <v>68</v>
      </c>
      <c r="L6" s="19">
        <v>2.1</v>
      </c>
      <c r="M6" s="19"/>
      <c r="N6" s="19" t="s">
        <v>68</v>
      </c>
      <c r="O6" s="20">
        <v>15</v>
      </c>
    </row>
    <row r="32" spans="1:2">
      <c r="A32" t="s">
        <v>129</v>
      </c>
      <c r="B32">
        <f>H1*H2*H3</f>
        <v>468000</v>
      </c>
    </row>
    <row r="34" spans="1:2">
      <c r="A34" t="s">
        <v>130</v>
      </c>
      <c r="B34">
        <f>B3*B5 + (B4-B5)*B6</f>
        <v>975</v>
      </c>
    </row>
    <row r="35" spans="1:2">
      <c r="A35" t="s">
        <v>131</v>
      </c>
      <c r="B35">
        <f>B34*H2</f>
        <v>585000</v>
      </c>
    </row>
    <row r="37" spans="1:2">
      <c r="A37" t="s">
        <v>132</v>
      </c>
      <c r="B37">
        <f xml:space="preserve"> 2*E6*E4 + 2*E3*E4 + (E5-2*E4) * E4</f>
        <v>242.88</v>
      </c>
    </row>
    <row r="38" spans="1:2">
      <c r="A38" t="s">
        <v>131</v>
      </c>
      <c r="B38">
        <f>B37*H2</f>
        <v>145728</v>
      </c>
    </row>
    <row r="40" spans="1:2">
      <c r="A40" t="s">
        <v>142</v>
      </c>
      <c r="B40" s="16">
        <v>2.7000000000000002E-9</v>
      </c>
    </row>
    <row r="42" spans="1:2">
      <c r="A42" t="s">
        <v>141</v>
      </c>
      <c r="B42" s="17">
        <f>B40*(10*B32+B35*4 + B38*5) * 10^3</f>
        <v>20.921328000000003</v>
      </c>
    </row>
    <row r="43" spans="1:2">
      <c r="A43" t="s">
        <v>145</v>
      </c>
      <c r="B43" s="18">
        <f>B40*(SUM('Results_e,f'!B2:B31)+SUM('Results_e,f'!B38:B64)) * 10^3</f>
        <v>16.397640925754612</v>
      </c>
    </row>
  </sheetData>
  <mergeCells count="4">
    <mergeCell ref="A1:B1"/>
    <mergeCell ref="D1:E1"/>
    <mergeCell ref="K1:L1"/>
    <mergeCell ref="N1:O1"/>
  </mergeCells>
  <conditionalFormatting sqref="B42">
    <cfRule type="cellIs" dxfId="2" priority="1" operator="lessThan">
      <formula>19.585</formula>
    </cfRule>
    <cfRule type="cellIs" dxfId="3" priority="2" operator="greaterThan">
      <formula>19.585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52A2-F53E-CF4F-9714-6523B619ACC1}">
  <dimension ref="A1:P65"/>
  <sheetViews>
    <sheetView topLeftCell="A11" zoomScale="55" zoomScaleNormal="55" workbookViewId="0">
      <selection activeCell="B35" sqref="B35"/>
    </sheetView>
  </sheetViews>
  <sheetFormatPr baseColWidth="10" defaultRowHeight="15.6"/>
  <cols>
    <col min="2" max="2" width="26.19921875" customWidth="1"/>
    <col min="3" max="3" width="29" customWidth="1"/>
    <col min="4" max="4" width="17.69921875" customWidth="1"/>
    <col min="5" max="5" width="19" customWidth="1"/>
    <col min="6" max="6" width="20.69921875" customWidth="1"/>
    <col min="7" max="7" width="24.296875" customWidth="1"/>
    <col min="8" max="10" width="27" customWidth="1"/>
    <col min="15" max="16" width="20.69921875" customWidth="1"/>
  </cols>
  <sheetData>
    <row r="1" spans="1:16">
      <c r="A1" t="s">
        <v>17</v>
      </c>
      <c r="B1" s="5" t="s">
        <v>16</v>
      </c>
      <c r="C1" s="7" t="s">
        <v>19</v>
      </c>
      <c r="D1" t="s">
        <v>18</v>
      </c>
      <c r="E1" s="4" t="s">
        <v>20</v>
      </c>
      <c r="F1" s="4" t="s">
        <v>23</v>
      </c>
      <c r="G1" s="4" t="s">
        <v>21</v>
      </c>
      <c r="H1" s="4" t="s">
        <v>24</v>
      </c>
      <c r="I1" s="4" t="s">
        <v>22</v>
      </c>
      <c r="J1" s="4" t="s">
        <v>25</v>
      </c>
      <c r="L1" s="12" t="s">
        <v>113</v>
      </c>
      <c r="M1" s="12" t="s">
        <v>135</v>
      </c>
      <c r="N1" s="12" t="s">
        <v>136</v>
      </c>
      <c r="O1" s="12" t="s">
        <v>114</v>
      </c>
      <c r="P1" s="12" t="s">
        <v>115</v>
      </c>
    </row>
    <row r="2" spans="1:16">
      <c r="A2">
        <f>Import!A2</f>
        <v>1</v>
      </c>
      <c r="B2">
        <v>156002.72424842999</v>
      </c>
      <c r="C2" s="23">
        <v>1</v>
      </c>
      <c r="D2" s="23">
        <f>SUM(B2:B4)</f>
        <v>468000.27897996001</v>
      </c>
      <c r="E2" s="24">
        <f>SUMPRODUCT('Results_e,f'!$B2:$B4,Import!B2:B4)/$D2</f>
        <v>-55.413272966050641</v>
      </c>
      <c r="F2" s="24">
        <f>SUMPRODUCT('Results_e,f'!$B2:$B4,Import!C2:C4)/$D2</f>
        <v>-23.279955056006532</v>
      </c>
      <c r="G2" s="24">
        <f>SUMPRODUCT('Results_e,f'!$B2:$B4,Import!D2:D4)/$D2</f>
        <v>39.399464897236562</v>
      </c>
      <c r="H2" s="24">
        <f>SUMPRODUCT('Results_e,f'!$B2:$B4,Import!E2:E4)/$D2</f>
        <v>155.56517208700083</v>
      </c>
      <c r="I2" s="24">
        <f>SUMPRODUCT('Results_e,f'!$B2:$B4,Import!F2:F4)/$D2</f>
        <v>23.846147653298427</v>
      </c>
      <c r="J2" s="24">
        <f>SUMPRODUCT('Results_e,f'!$B2:$B4,Import!G2:G4)/$D2</f>
        <v>7.8462151433468197</v>
      </c>
      <c r="K2">
        <v>1</v>
      </c>
      <c r="L2" cm="1">
        <f t="array" ref="L2:L11">_xlfn._xlws.FILTER(D2:D31,D2:D31&lt;&gt;"")</f>
        <v>468000.27897996001</v>
      </c>
      <c r="M2" cm="1">
        <f t="array" ref="M2:M11">_xlfn._xlws.FILTER(E2:E31,E2:E31&lt;&gt;"")</f>
        <v>-55.413272966050641</v>
      </c>
      <c r="N2" cm="1">
        <f t="array" ref="N2:N11">_xlfn._xlws.FILTER(F2:F31,F2:F31&lt;&gt;"")</f>
        <v>-23.279955056006532</v>
      </c>
    </row>
    <row r="3" spans="1:16">
      <c r="A3">
        <f>Import!A3</f>
        <v>2</v>
      </c>
      <c r="B3">
        <v>156000.05690826001</v>
      </c>
      <c r="C3" s="23"/>
      <c r="D3" s="23"/>
      <c r="E3" s="24"/>
      <c r="F3" s="24"/>
      <c r="G3" s="24"/>
      <c r="H3" s="24"/>
      <c r="I3" s="24"/>
      <c r="J3" s="24"/>
      <c r="K3">
        <v>2</v>
      </c>
      <c r="L3">
        <v>468000.27741465002</v>
      </c>
      <c r="M3">
        <v>-91.457956292773275</v>
      </c>
      <c r="N3">
        <v>-30.092478229483675</v>
      </c>
    </row>
    <row r="4" spans="1:16">
      <c r="A4">
        <f>Import!A4</f>
        <v>3</v>
      </c>
      <c r="B4">
        <v>155997.49782327001</v>
      </c>
      <c r="C4" s="23"/>
      <c r="D4" s="23"/>
      <c r="E4" s="24"/>
      <c r="F4" s="24"/>
      <c r="G4" s="24"/>
      <c r="H4" s="24"/>
      <c r="I4" s="24"/>
      <c r="J4" s="24"/>
      <c r="K4">
        <v>3</v>
      </c>
      <c r="L4">
        <v>467995.54139105999</v>
      </c>
      <c r="M4">
        <v>-93.462360205020303</v>
      </c>
      <c r="N4">
        <v>-30.752011325182355</v>
      </c>
    </row>
    <row r="5" spans="1:16">
      <c r="A5">
        <f>Import!A5</f>
        <v>4</v>
      </c>
      <c r="B5">
        <v>155997.49556549999</v>
      </c>
      <c r="C5" s="23">
        <v>2</v>
      </c>
      <c r="D5" s="23">
        <f t="shared" ref="D5" si="0">SUM(B5:B7)</f>
        <v>468000.27741465002</v>
      </c>
      <c r="E5" s="24">
        <f>SUMPRODUCT('Results_e,f'!$B5:$B7,Import!B5:B7)/$D5</f>
        <v>-91.457956292773275</v>
      </c>
      <c r="F5" s="24">
        <f>SUMPRODUCT('Results_e,f'!$B5:$B7,Import!C5:C7)/$D5</f>
        <v>-30.092478229483675</v>
      </c>
      <c r="G5" s="24">
        <f>SUMPRODUCT('Results_e,f'!$B5:$B7,Import!D5:D7)/$D5</f>
        <v>39.032756873157155</v>
      </c>
      <c r="H5" s="24">
        <f>SUMPRODUCT('Results_e,f'!$B5:$B7,Import!E5:E7)/$D5</f>
        <v>154.11746042478134</v>
      </c>
      <c r="I5" s="24">
        <f>SUMPRODUCT('Results_e,f'!$B5:$B7,Import!F5:F7)/$D5</f>
        <v>23.846152654191794</v>
      </c>
      <c r="J5" s="24">
        <f>SUMPRODUCT('Results_e,f'!$B5:$B7,Import!G5:G7)/$D5</f>
        <v>7.8462545426913328</v>
      </c>
      <c r="K5">
        <v>4</v>
      </c>
      <c r="L5">
        <v>468003.10705311992</v>
      </c>
      <c r="M5">
        <v>-93.222038415665409</v>
      </c>
      <c r="N5">
        <v>-30.673498199284161</v>
      </c>
    </row>
    <row r="6" spans="1:16">
      <c r="A6">
        <f>Import!A6</f>
        <v>5</v>
      </c>
      <c r="B6">
        <v>156000.05517224999</v>
      </c>
      <c r="C6" s="23"/>
      <c r="D6" s="23"/>
      <c r="E6" s="24"/>
      <c r="F6" s="24"/>
      <c r="G6" s="24"/>
      <c r="H6" s="24"/>
      <c r="I6" s="24"/>
      <c r="J6" s="24"/>
      <c r="K6">
        <v>5</v>
      </c>
      <c r="L6">
        <v>468000.70313752</v>
      </c>
      <c r="M6">
        <v>-92.821111081150789</v>
      </c>
      <c r="N6">
        <v>-30.540989580149905</v>
      </c>
    </row>
    <row r="7" spans="1:16">
      <c r="A7">
        <f>Import!A7</f>
        <v>6</v>
      </c>
      <c r="B7">
        <v>156002.7266769</v>
      </c>
      <c r="C7" s="23"/>
      <c r="D7" s="23"/>
      <c r="E7" s="24"/>
      <c r="F7" s="24"/>
      <c r="G7" s="24"/>
      <c r="H7" s="24"/>
      <c r="I7" s="24"/>
      <c r="J7" s="24"/>
      <c r="K7">
        <v>6</v>
      </c>
      <c r="L7">
        <v>467998.74598031002</v>
      </c>
      <c r="M7">
        <v>-92.705718918306388</v>
      </c>
      <c r="N7">
        <v>-30.503161720129956</v>
      </c>
    </row>
    <row r="8" spans="1:16">
      <c r="A8">
        <f>Import!A8</f>
        <v>7</v>
      </c>
      <c r="B8">
        <v>155999.82694182999</v>
      </c>
      <c r="C8" s="23">
        <v>3</v>
      </c>
      <c r="D8" s="23">
        <f t="shared" ref="D8" si="1">SUM(B8:B10)</f>
        <v>467995.54139105999</v>
      </c>
      <c r="E8" s="24">
        <f>SUMPRODUCT('Results_e,f'!$B8:$B10,Import!B8:B10)/$D8</f>
        <v>-93.462360205020303</v>
      </c>
      <c r="F8" s="24">
        <f>SUMPRODUCT('Results_e,f'!$B8:$B10,Import!C8:C10)/$D8</f>
        <v>-30.752011325182355</v>
      </c>
      <c r="G8" s="24">
        <f>SUMPRODUCT('Results_e,f'!$B8:$B10,Import!D8:D10)/$D8</f>
        <v>39.135793297071388</v>
      </c>
      <c r="H8" s="24">
        <f>SUMPRODUCT('Results_e,f'!$B8:$B10,Import!E8:E10)/$D8</f>
        <v>154.52201225594342</v>
      </c>
      <c r="I8" s="24">
        <f>SUMPRODUCT('Results_e,f'!$B8:$B10,Import!F8:F10)/$D8</f>
        <v>23.846018873279803</v>
      </c>
      <c r="J8" s="24">
        <f>SUMPRODUCT('Results_e,f'!$B8:$B10,Import!G8:G10)/$D8</f>
        <v>7.8456136776305456</v>
      </c>
      <c r="K8">
        <v>7</v>
      </c>
      <c r="L8">
        <v>468001.20399019995</v>
      </c>
      <c r="M8">
        <v>-93.424368299081564</v>
      </c>
      <c r="N8">
        <v>-30.739834806709119</v>
      </c>
    </row>
    <row r="9" spans="1:16">
      <c r="A9">
        <f>Import!A9</f>
        <v>8</v>
      </c>
      <c r="B9">
        <v>155997.49996402999</v>
      </c>
      <c r="C9" s="23"/>
      <c r="D9" s="23"/>
      <c r="E9" s="24"/>
      <c r="F9" s="24"/>
      <c r="G9" s="24"/>
      <c r="H9" s="24"/>
      <c r="I9" s="24"/>
      <c r="J9" s="24"/>
      <c r="K9">
        <v>8</v>
      </c>
      <c r="L9">
        <v>467999.24138626992</v>
      </c>
      <c r="M9">
        <v>-97.764264124313669</v>
      </c>
      <c r="N9">
        <v>-32.167782985717324</v>
      </c>
    </row>
    <row r="10" spans="1:16">
      <c r="A10">
        <f>Import!A10</f>
        <v>9</v>
      </c>
      <c r="B10">
        <v>155998.21448520001</v>
      </c>
      <c r="C10" s="23"/>
      <c r="D10" s="23"/>
      <c r="E10" s="24"/>
      <c r="F10" s="24"/>
      <c r="G10" s="24"/>
      <c r="H10" s="24"/>
      <c r="I10" s="24"/>
      <c r="J10" s="24"/>
      <c r="K10">
        <v>9</v>
      </c>
      <c r="L10">
        <v>468000.98061315005</v>
      </c>
      <c r="M10">
        <v>-99.814182963562089</v>
      </c>
      <c r="N10">
        <v>-32.842064124437279</v>
      </c>
    </row>
    <row r="11" spans="1:16">
      <c r="A11">
        <f>Import!A11</f>
        <v>10</v>
      </c>
      <c r="B11">
        <v>155999.85662827999</v>
      </c>
      <c r="C11" s="23">
        <v>4</v>
      </c>
      <c r="D11" s="23">
        <f t="shared" ref="D11" si="2">SUM(B11:B13)</f>
        <v>468003.10705311992</v>
      </c>
      <c r="E11" s="24">
        <f>SUMPRODUCT('Results_e,f'!$B11:$B13,Import!B11:B13)/$D11</f>
        <v>-93.222038415665409</v>
      </c>
      <c r="F11" s="24">
        <f>SUMPRODUCT('Results_e,f'!$B11:$B13,Import!C11:C13)/$D11</f>
        <v>-30.673498199284161</v>
      </c>
      <c r="G11" s="24">
        <f>SUMPRODUCT('Results_e,f'!$B11:$B13,Import!D11:D13)/$D11</f>
        <v>39.14346902990939</v>
      </c>
      <c r="H11" s="24">
        <f>SUMPRODUCT('Results_e,f'!$B11:$B13,Import!E11:E13)/$D11</f>
        <v>154.55405316501287</v>
      </c>
      <c r="I11" s="24">
        <f>SUMPRODUCT('Results_e,f'!$B11:$B13,Import!F11:F13)/$D11</f>
        <v>23.846320774572309</v>
      </c>
      <c r="J11" s="24">
        <f>SUMPRODUCT('Results_e,f'!$B11:$B13,Import!G11:G13)/$D11</f>
        <v>7.8467995813713021</v>
      </c>
      <c r="K11">
        <v>10</v>
      </c>
      <c r="L11">
        <v>467999.82697346993</v>
      </c>
      <c r="M11">
        <v>-74.593693830984463</v>
      </c>
      <c r="N11">
        <v>-24.543661857522295</v>
      </c>
    </row>
    <row r="12" spans="1:16">
      <c r="A12">
        <f>Import!A12</f>
        <v>11</v>
      </c>
      <c r="B12">
        <v>156001.69767331</v>
      </c>
      <c r="C12" s="23"/>
      <c r="D12" s="23"/>
      <c r="E12" s="24"/>
      <c r="F12" s="24"/>
      <c r="G12" s="24"/>
      <c r="H12" s="24"/>
      <c r="I12" s="24"/>
      <c r="J12" s="24"/>
    </row>
    <row r="13" spans="1:16">
      <c r="A13">
        <f>Import!A13</f>
        <v>12</v>
      </c>
      <c r="B13">
        <v>156001.55275152999</v>
      </c>
      <c r="C13" s="23"/>
      <c r="D13" s="23"/>
      <c r="E13" s="24"/>
      <c r="F13" s="24"/>
      <c r="G13" s="24"/>
      <c r="H13" s="24"/>
      <c r="I13" s="24"/>
      <c r="J13" s="24"/>
      <c r="K13">
        <v>1</v>
      </c>
      <c r="L13" cm="1">
        <f t="array" ref="L13:L21">_xlfn._xlws.FILTER(D38:D64,D38:D64&lt;&gt;"")</f>
        <v>166140.76463097602</v>
      </c>
      <c r="O13" cm="1">
        <f t="array" ref="O13:O21">_xlfn._xlws.FILTER(E38:E64,E38:E64&lt;&gt;"")</f>
        <v>-82.017769155676746</v>
      </c>
      <c r="P13" cm="1">
        <f t="array" ref="P13:P21">_xlfn._xlws.FILTER(F38:F64,F38:F64&lt;&gt;"")</f>
        <v>-26.983622857211508</v>
      </c>
    </row>
    <row r="14" spans="1:16">
      <c r="A14">
        <f>Import!A14</f>
        <v>13</v>
      </c>
      <c r="B14">
        <v>156000.87944320001</v>
      </c>
      <c r="C14" s="23">
        <v>5</v>
      </c>
      <c r="D14" s="23">
        <f t="shared" ref="D14" si="3">SUM(B14:B16)</f>
        <v>468000.70313752</v>
      </c>
      <c r="E14" s="24">
        <f>SUMPRODUCT('Results_e,f'!$B14:$B16,Import!B14:B16)/$D14</f>
        <v>-92.821111081150789</v>
      </c>
      <c r="F14" s="24">
        <f>SUMPRODUCT('Results_e,f'!$B14:$B16,Import!C14:C16)/$D14</f>
        <v>-30.540989580149905</v>
      </c>
      <c r="G14" s="24">
        <f>SUMPRODUCT('Results_e,f'!$B14:$B16,Import!D14:D16)/$D14</f>
        <v>39.142242190929672</v>
      </c>
      <c r="H14" s="24">
        <f>SUMPRODUCT('Results_e,f'!$B14:$B16,Import!E14:E16)/$D14</f>
        <v>154.54799228379497</v>
      </c>
      <c r="I14" s="24">
        <f>SUMPRODUCT('Results_e,f'!$B14:$B16,Import!F14:F16)/$D14</f>
        <v>23.846146263511852</v>
      </c>
      <c r="J14" s="24">
        <f>SUMPRODUCT('Results_e,f'!$B14:$B16,Import!G14:G16)/$D14</f>
        <v>7.8461398628633692</v>
      </c>
      <c r="K14">
        <v>2</v>
      </c>
      <c r="L14">
        <v>166139.81620405399</v>
      </c>
      <c r="O14">
        <v>-86.243290612191515</v>
      </c>
      <c r="P14">
        <v>-28.377602532197205</v>
      </c>
    </row>
    <row r="15" spans="1:16">
      <c r="A15">
        <f>Import!A15</f>
        <v>14</v>
      </c>
      <c r="B15">
        <v>156000.16178102</v>
      </c>
      <c r="C15" s="23"/>
      <c r="D15" s="23"/>
      <c r="E15" s="24"/>
      <c r="F15" s="24"/>
      <c r="G15" s="24"/>
      <c r="H15" s="24"/>
      <c r="I15" s="24"/>
      <c r="J15" s="24"/>
      <c r="K15">
        <v>3</v>
      </c>
      <c r="L15">
        <v>145727.83720381401</v>
      </c>
      <c r="O15">
        <v>-73.253269173055159</v>
      </c>
      <c r="P15">
        <v>-24.102644923275637</v>
      </c>
    </row>
    <row r="16" spans="1:16">
      <c r="A16">
        <f>Import!A16</f>
        <v>15</v>
      </c>
      <c r="B16">
        <v>155999.66191329999</v>
      </c>
      <c r="C16" s="23"/>
      <c r="D16" s="23"/>
      <c r="E16" s="24"/>
      <c r="F16" s="24"/>
      <c r="G16" s="24"/>
      <c r="H16" s="24"/>
      <c r="I16" s="24"/>
      <c r="J16" s="24"/>
      <c r="K16">
        <v>4</v>
      </c>
      <c r="L16">
        <v>166139.91222673102</v>
      </c>
      <c r="O16">
        <v>-84.119613418128338</v>
      </c>
      <c r="P16">
        <v>-27.67864342178029</v>
      </c>
    </row>
    <row r="17" spans="1:16">
      <c r="A17">
        <f>Import!A17</f>
        <v>16</v>
      </c>
      <c r="B17">
        <v>155999.65820132001</v>
      </c>
      <c r="C17" s="23">
        <v>6</v>
      </c>
      <c r="D17" s="23">
        <f t="shared" ref="D17" si="4">SUM(B17:B19)</f>
        <v>467998.74598031002</v>
      </c>
      <c r="E17" s="24">
        <f>SUMPRODUCT('Results_e,f'!$B17:$B19,Import!B17:B19)/$D17</f>
        <v>-92.705718918306388</v>
      </c>
      <c r="F17" s="24">
        <f>SUMPRODUCT('Results_e,f'!$B17:$B19,Import!C17:C19)/$D17</f>
        <v>-30.503161720129956</v>
      </c>
      <c r="G17" s="24">
        <f>SUMPRODUCT('Results_e,f'!$B17:$B19,Import!D17:D19)/$D17</f>
        <v>39.142009467321579</v>
      </c>
      <c r="H17" s="24">
        <f>SUMPRODUCT('Results_e,f'!$B17:$B19,Import!E17:E19)/$D17</f>
        <v>154.54711478427072</v>
      </c>
      <c r="I17" s="24">
        <f>SUMPRODUCT('Results_e,f'!$B17:$B19,Import!F17:F19)/$D17</f>
        <v>23.846132839911412</v>
      </c>
      <c r="J17" s="24">
        <f>SUMPRODUCT('Results_e,f'!$B17:$B19,Import!G17:G19)/$D17</f>
        <v>7.8460788562613226</v>
      </c>
      <c r="K17">
        <v>5</v>
      </c>
      <c r="L17">
        <v>145728.00449470201</v>
      </c>
      <c r="O17">
        <v>-73.374714979357705</v>
      </c>
      <c r="P17">
        <v>-24.143320649642256</v>
      </c>
    </row>
    <row r="18" spans="1:16">
      <c r="A18">
        <f>Import!A18</f>
        <v>17</v>
      </c>
      <c r="B18">
        <v>155999.66300462</v>
      </c>
      <c r="C18" s="23"/>
      <c r="D18" s="23"/>
      <c r="E18" s="24"/>
      <c r="F18" s="24"/>
      <c r="G18" s="24"/>
      <c r="H18" s="24"/>
      <c r="I18" s="24"/>
      <c r="J18" s="24"/>
      <c r="K18">
        <v>6</v>
      </c>
      <c r="L18">
        <v>166140.00376875699</v>
      </c>
      <c r="O18">
        <v>-83.8799059140472</v>
      </c>
      <c r="P18">
        <v>-27.599415532347308</v>
      </c>
    </row>
    <row r="19" spans="1:16">
      <c r="A19">
        <f>Import!A19</f>
        <v>18</v>
      </c>
      <c r="B19">
        <v>155999.42477437001</v>
      </c>
      <c r="C19" s="23"/>
      <c r="D19" s="23"/>
      <c r="E19" s="24"/>
      <c r="F19" s="24"/>
      <c r="G19" s="24"/>
      <c r="H19" s="24"/>
      <c r="I19" s="24"/>
      <c r="J19" s="24"/>
      <c r="K19">
        <v>7</v>
      </c>
      <c r="L19">
        <v>145728.00687262299</v>
      </c>
      <c r="O19">
        <v>-72.454444955151644</v>
      </c>
      <c r="P19">
        <v>-23.839513801626651</v>
      </c>
    </row>
    <row r="20" spans="1:16">
      <c r="A20">
        <f>Import!A20</f>
        <v>19</v>
      </c>
      <c r="B20">
        <v>156000.16264903001</v>
      </c>
      <c r="C20" s="23">
        <v>7</v>
      </c>
      <c r="D20" s="23">
        <f t="shared" ref="D20" si="5">SUM(B20:B22)</f>
        <v>468001.20399019995</v>
      </c>
      <c r="E20" s="24">
        <f>SUMPRODUCT('Results_e,f'!$B20:$B22,Import!B20:B22)/$D20</f>
        <v>-93.424368299081564</v>
      </c>
      <c r="F20" s="24">
        <f>SUMPRODUCT('Results_e,f'!$B20:$B22,Import!C20:C22)/$D20</f>
        <v>-30.739834806709119</v>
      </c>
      <c r="G20" s="24">
        <f>SUMPRODUCT('Results_e,f'!$B20:$B22,Import!D20:D22)/$D20</f>
        <v>39.144665401201102</v>
      </c>
      <c r="H20" s="24">
        <f>SUMPRODUCT('Results_e,f'!$B20:$B22,Import!E20:E22)/$D20</f>
        <v>154.55816907323165</v>
      </c>
      <c r="I20" s="24">
        <f>SUMPRODUCT('Results_e,f'!$B20:$B22,Import!F20:F22)/$D20</f>
        <v>23.846126383365522</v>
      </c>
      <c r="J20" s="24">
        <f>SUMPRODUCT('Results_e,f'!$B20:$B22,Import!G20:G22)/$D20</f>
        <v>7.84604327052398</v>
      </c>
      <c r="K20">
        <v>8</v>
      </c>
      <c r="L20">
        <v>145728.085979889</v>
      </c>
      <c r="O20">
        <v>-73.378352344805009</v>
      </c>
      <c r="P20">
        <v>-24.143365233154984</v>
      </c>
    </row>
    <row r="21" spans="1:16">
      <c r="A21">
        <f>Import!A21</f>
        <v>20</v>
      </c>
      <c r="B21">
        <v>156000.88360778999</v>
      </c>
      <c r="C21" s="23"/>
      <c r="D21" s="23"/>
      <c r="E21" s="24"/>
      <c r="F21" s="24"/>
      <c r="G21" s="24"/>
      <c r="H21" s="24"/>
      <c r="I21" s="24"/>
      <c r="J21" s="24"/>
      <c r="K21">
        <v>9</v>
      </c>
      <c r="L21">
        <v>145728.004570822</v>
      </c>
      <c r="O21">
        <v>-67.390114385738698</v>
      </c>
      <c r="P21">
        <v>-22.173340015479969</v>
      </c>
    </row>
    <row r="22" spans="1:16">
      <c r="A22">
        <f>Import!A22</f>
        <v>21</v>
      </c>
      <c r="B22">
        <v>156000.15773338001</v>
      </c>
      <c r="C22" s="23"/>
      <c r="D22" s="23"/>
      <c r="E22" s="24"/>
      <c r="F22" s="24"/>
      <c r="G22" s="24"/>
      <c r="H22" s="24"/>
      <c r="I22" s="24"/>
      <c r="J22" s="24"/>
    </row>
    <row r="23" spans="1:16">
      <c r="A23">
        <f>Import!A23</f>
        <v>22</v>
      </c>
      <c r="B23">
        <v>155999.92464208999</v>
      </c>
      <c r="C23" s="23">
        <v>8</v>
      </c>
      <c r="D23" s="23">
        <f t="shared" ref="D23" si="6">SUM(B23:B25)</f>
        <v>467999.24138626992</v>
      </c>
      <c r="E23" s="24">
        <f>SUMPRODUCT('Results_e,f'!$B23:$B25,Import!B23:B25)/$D23</f>
        <v>-97.764264124313669</v>
      </c>
      <c r="F23" s="24">
        <f>SUMPRODUCT('Results_e,f'!$B23:$B25,Import!C23:C25)/$D23</f>
        <v>-32.167782985717324</v>
      </c>
      <c r="G23" s="24">
        <f>SUMPRODUCT('Results_e,f'!$B23:$B25,Import!D23:D25)/$D23</f>
        <v>39.2655607783934</v>
      </c>
      <c r="H23" s="24">
        <f>SUMPRODUCT('Results_e,f'!$B23:$B25,Import!E23:E25)/$D23</f>
        <v>155.03567954368407</v>
      </c>
      <c r="I23" s="24">
        <f>SUMPRODUCT('Results_e,f'!$B23:$B25,Import!F23:F25)/$D23</f>
        <v>23.846122984307367</v>
      </c>
      <c r="J23" s="24">
        <f>SUMPRODUCT('Results_e,f'!$B23:$B25,Import!G23:G25)/$D23</f>
        <v>7.846074605933512</v>
      </c>
    </row>
    <row r="24" spans="1:16">
      <c r="A24">
        <f>Import!A24</f>
        <v>23</v>
      </c>
      <c r="B24">
        <v>155999.65837208999</v>
      </c>
      <c r="C24" s="23"/>
      <c r="D24" s="23"/>
      <c r="E24" s="24"/>
      <c r="F24" s="24"/>
      <c r="G24" s="24"/>
      <c r="H24" s="24"/>
      <c r="I24" s="24"/>
      <c r="J24" s="24"/>
    </row>
    <row r="25" spans="1:16">
      <c r="A25">
        <f>Import!A25</f>
        <v>24</v>
      </c>
      <c r="B25">
        <v>155999.65837208999</v>
      </c>
      <c r="C25" s="23"/>
      <c r="D25" s="23"/>
      <c r="E25" s="24"/>
      <c r="F25" s="24"/>
      <c r="G25" s="24"/>
      <c r="H25" s="24"/>
      <c r="I25" s="24"/>
      <c r="J25" s="24"/>
    </row>
    <row r="26" spans="1:16">
      <c r="A26">
        <f>Import!A26</f>
        <v>25</v>
      </c>
      <c r="B26">
        <v>155999.93463944001</v>
      </c>
      <c r="C26" s="23">
        <v>9</v>
      </c>
      <c r="D26" s="23">
        <f t="shared" ref="D26" si="7">SUM(B26:B28)</f>
        <v>468000.98061315005</v>
      </c>
      <c r="E26" s="24">
        <f>SUMPRODUCT('Results_e,f'!$B26:$B28,Import!B26:B28)/$D26</f>
        <v>-99.814182963562089</v>
      </c>
      <c r="F26" s="24">
        <f>SUMPRODUCT('Results_e,f'!$B26:$B28,Import!C26:C28)/$D26</f>
        <v>-32.842064124437279</v>
      </c>
      <c r="G26" s="24">
        <f>SUMPRODUCT('Results_e,f'!$B26:$B28,Import!D26:D28)/$D26</f>
        <v>39.284209508678494</v>
      </c>
      <c r="H26" s="24">
        <f>SUMPRODUCT('Results_e,f'!$B26:$B28,Import!E26:E28)/$D26</f>
        <v>155.109244290373</v>
      </c>
      <c r="I26" s="24">
        <f>SUMPRODUCT('Results_e,f'!$B26:$B28,Import!F26:F28)/$D26</f>
        <v>23.846115288967287</v>
      </c>
      <c r="J26" s="24">
        <f>SUMPRODUCT('Results_e,f'!$B26:$B28,Import!G26:G28)/$D26</f>
        <v>7.8460258897336743</v>
      </c>
    </row>
    <row r="27" spans="1:16">
      <c r="A27">
        <f>Import!A27</f>
        <v>26</v>
      </c>
      <c r="B27">
        <v>156000.16641352</v>
      </c>
      <c r="C27" s="23"/>
      <c r="D27" s="23"/>
      <c r="E27" s="24"/>
      <c r="F27" s="24"/>
      <c r="G27" s="24"/>
      <c r="H27" s="24"/>
      <c r="I27" s="24"/>
      <c r="J27" s="24"/>
    </row>
    <row r="28" spans="1:16">
      <c r="A28">
        <f>Import!A28</f>
        <v>27</v>
      </c>
      <c r="B28">
        <v>156000.87956018999</v>
      </c>
      <c r="C28" s="23"/>
      <c r="D28" s="23"/>
      <c r="E28" s="24"/>
      <c r="F28" s="24"/>
      <c r="G28" s="24"/>
      <c r="H28" s="24"/>
      <c r="I28" s="24"/>
      <c r="J28" s="24"/>
    </row>
    <row r="29" spans="1:16">
      <c r="A29">
        <f>Import!A29</f>
        <v>28</v>
      </c>
      <c r="B29">
        <v>156000.02019069999</v>
      </c>
      <c r="C29" s="23">
        <v>10</v>
      </c>
      <c r="D29" s="23">
        <f>SUM(B29:B31)</f>
        <v>467999.82697346993</v>
      </c>
      <c r="E29" s="24">
        <f>SUMPRODUCT('Results_e,f'!$B29:$B31,Import!B29:B31)/$D29</f>
        <v>-74.593693830984463</v>
      </c>
      <c r="F29" s="24">
        <f>SUMPRODUCT('Results_e,f'!$B29:$B31,Import!C29:C31)/$D29</f>
        <v>-24.543661857522295</v>
      </c>
      <c r="G29" s="24">
        <f>SUMPRODUCT('Results_e,f'!$B29:$B31,Import!D29:D31)/$D29</f>
        <v>39.523201047199258</v>
      </c>
      <c r="H29" s="24">
        <f>SUMPRODUCT('Results_e,f'!$B29:$B31,Import!E29:E31)/$D29</f>
        <v>156.05293772728351</v>
      </c>
      <c r="I29" s="24">
        <f>SUMPRODUCT('Results_e,f'!$B29:$B31,Import!F29:F31)/$D29</f>
        <v>23.846151722228072</v>
      </c>
      <c r="J29" s="24">
        <f>SUMPRODUCT('Results_e,f'!$B29:$B31,Import!G29:G31)/$D29</f>
        <v>7.8461967836059543</v>
      </c>
    </row>
    <row r="30" spans="1:16">
      <c r="A30">
        <f>Import!A30</f>
        <v>29</v>
      </c>
      <c r="B30">
        <v>155999.79530150001</v>
      </c>
      <c r="C30" s="23"/>
      <c r="D30" s="23"/>
      <c r="E30" s="24"/>
      <c r="F30" s="24"/>
      <c r="G30" s="24"/>
      <c r="H30" s="24"/>
      <c r="I30" s="24"/>
      <c r="J30" s="24"/>
    </row>
    <row r="31" spans="1:16">
      <c r="A31">
        <f>Import!A31</f>
        <v>30</v>
      </c>
      <c r="B31">
        <v>156000.01148126999</v>
      </c>
      <c r="C31" s="23"/>
      <c r="D31" s="23"/>
      <c r="E31" s="24"/>
      <c r="F31" s="24"/>
      <c r="G31" s="24"/>
      <c r="H31" s="24"/>
      <c r="I31" s="24"/>
      <c r="J31" s="24"/>
    </row>
    <row r="32" spans="1:16">
      <c r="A32">
        <f>Import!A32</f>
        <v>31</v>
      </c>
      <c r="B32" s="6">
        <v>56800.177890960003</v>
      </c>
      <c r="D32" s="23">
        <f t="shared" ref="D32" si="8">SUM(B32:B34)</f>
        <v>170400.01192152401</v>
      </c>
    </row>
    <row r="33" spans="1:6">
      <c r="A33">
        <f>Import!A33</f>
        <v>32</v>
      </c>
      <c r="B33" s="6">
        <v>56799.915072604999</v>
      </c>
      <c r="D33" s="23"/>
    </row>
    <row r="34" spans="1:6">
      <c r="A34">
        <f>Import!A34</f>
        <v>33</v>
      </c>
      <c r="B34" s="6">
        <v>56799.918957959002</v>
      </c>
      <c r="D34" s="23"/>
    </row>
    <row r="35" spans="1:6">
      <c r="A35">
        <f>Import!A35</f>
        <v>34</v>
      </c>
      <c r="B35" s="6">
        <v>56800.759786957002</v>
      </c>
      <c r="D35" s="23">
        <f t="shared" ref="D35" si="9">SUM(B35:B37)</f>
        <v>170399.810101087</v>
      </c>
    </row>
    <row r="36" spans="1:6">
      <c r="A36">
        <f>Import!A36</f>
        <v>35</v>
      </c>
      <c r="B36" s="6">
        <v>56799.526083912002</v>
      </c>
      <c r="D36" s="23"/>
    </row>
    <row r="37" spans="1:6">
      <c r="A37">
        <f>Import!A37</f>
        <v>36</v>
      </c>
      <c r="B37" s="6">
        <v>56799.524230217998</v>
      </c>
      <c r="D37" s="23"/>
      <c r="E37" t="s">
        <v>110</v>
      </c>
      <c r="F37" t="s">
        <v>111</v>
      </c>
    </row>
    <row r="38" spans="1:6">
      <c r="A38">
        <f>Import!A38</f>
        <v>37</v>
      </c>
      <c r="B38" s="3">
        <v>55380.484547013002</v>
      </c>
      <c r="C38" s="23">
        <v>1</v>
      </c>
      <c r="D38" s="23">
        <f t="shared" ref="D38" si="10">SUM(B38:B40)</f>
        <v>166140.76463097602</v>
      </c>
      <c r="E38" s="24">
        <f>SUMPRODUCT('Results_e,f'!$B38:$B40,Import!H38:H40)/$D38</f>
        <v>-82.017769155676746</v>
      </c>
      <c r="F38" s="24">
        <f>SUMPRODUCT('Results_e,f'!$B38:$B40,Import!I38:I40)/$D38</f>
        <v>-26.983622857211508</v>
      </c>
    </row>
    <row r="39" spans="1:6">
      <c r="A39">
        <f>Import!A39</f>
        <v>38</v>
      </c>
      <c r="B39" s="3">
        <v>55379.793729628997</v>
      </c>
      <c r="C39" s="23"/>
      <c r="D39" s="23"/>
      <c r="E39" s="24"/>
      <c r="F39" s="24"/>
    </row>
    <row r="40" spans="1:6">
      <c r="A40">
        <f>Import!A40</f>
        <v>39</v>
      </c>
      <c r="B40" s="3">
        <v>55380.486354334003</v>
      </c>
      <c r="C40" s="23"/>
      <c r="D40" s="23"/>
      <c r="E40" s="24"/>
      <c r="F40" s="24"/>
    </row>
    <row r="41" spans="1:6">
      <c r="A41">
        <f>Import!A41</f>
        <v>40</v>
      </c>
      <c r="B41" s="3">
        <v>55379.537479976003</v>
      </c>
      <c r="C41" s="23">
        <v>2</v>
      </c>
      <c r="D41" s="23">
        <f t="shared" ref="D41" si="11">SUM(B41:B43)</f>
        <v>166139.81620405399</v>
      </c>
      <c r="E41" s="24">
        <f>SUMPRODUCT('Results_e,f'!$B41:$B43,Import!H41:H43)/$D41</f>
        <v>-86.243290612191515</v>
      </c>
      <c r="F41" s="24">
        <f>SUMPRODUCT('Results_e,f'!$B41:$B43,Import!I41:I43)/$D41</f>
        <v>-28.377602532197205</v>
      </c>
    </row>
    <row r="42" spans="1:6">
      <c r="A42">
        <f>Import!A42</f>
        <v>41</v>
      </c>
      <c r="B42" s="3">
        <v>55379.537028138002</v>
      </c>
      <c r="C42" s="23"/>
      <c r="D42" s="23"/>
      <c r="E42" s="24"/>
      <c r="F42" s="24"/>
    </row>
    <row r="43" spans="1:6">
      <c r="A43">
        <f>Import!A43</f>
        <v>42</v>
      </c>
      <c r="B43" s="3">
        <v>55380.74169594</v>
      </c>
      <c r="C43" s="23"/>
      <c r="D43" s="23"/>
      <c r="E43" s="24"/>
      <c r="F43" s="24"/>
    </row>
    <row r="44" spans="1:6">
      <c r="A44">
        <f>Import!A44</f>
        <v>43</v>
      </c>
      <c r="B44" s="3">
        <v>48575.594305295999</v>
      </c>
      <c r="C44" s="23">
        <v>3</v>
      </c>
      <c r="D44" s="23">
        <f t="shared" ref="D44" si="12">SUM(B44:B46)</f>
        <v>145727.83720381401</v>
      </c>
      <c r="E44" s="24">
        <f>SUMPRODUCT('Results_e,f'!$B44:$B46,Import!H44:H46)/$D44</f>
        <v>-73.253269173055159</v>
      </c>
      <c r="F44" s="24">
        <f>SUMPRODUCT('Results_e,f'!$B44:$B46,Import!I44:I46)/$D44</f>
        <v>-24.102644923275637</v>
      </c>
    </row>
    <row r="45" spans="1:6">
      <c r="A45">
        <f>Import!A45</f>
        <v>44</v>
      </c>
      <c r="B45" s="3">
        <v>48576.426997043003</v>
      </c>
      <c r="C45" s="23"/>
      <c r="D45" s="23"/>
      <c r="E45" s="24"/>
      <c r="F45" s="24"/>
    </row>
    <row r="46" spans="1:6">
      <c r="A46">
        <f>Import!A46</f>
        <v>45</v>
      </c>
      <c r="B46" s="3">
        <v>48575.815901474998</v>
      </c>
      <c r="C46" s="23"/>
      <c r="D46" s="23"/>
      <c r="E46" s="24"/>
      <c r="F46" s="24"/>
    </row>
    <row r="47" spans="1:6">
      <c r="A47">
        <f>Import!A47</f>
        <v>46</v>
      </c>
      <c r="B47" s="3">
        <v>55380.172540020001</v>
      </c>
      <c r="C47" s="23">
        <v>4</v>
      </c>
      <c r="D47" s="23">
        <f t="shared" ref="D47" si="13">SUM(B47:B49)</f>
        <v>166139.91222673102</v>
      </c>
      <c r="E47" s="24">
        <f>SUMPRODUCT('Results_e,f'!$B47:$B49,Import!H47:H49)/$D47</f>
        <v>-84.119613418128338</v>
      </c>
      <c r="F47" s="24">
        <f>SUMPRODUCT('Results_e,f'!$B47:$B49,Import!I47:I49)/$D47</f>
        <v>-27.67864342178029</v>
      </c>
    </row>
    <row r="48" spans="1:6">
      <c r="A48">
        <f>Import!A48</f>
        <v>47</v>
      </c>
      <c r="B48" s="3">
        <v>55379.917195790003</v>
      </c>
      <c r="C48" s="23"/>
      <c r="D48" s="23"/>
      <c r="E48" s="24"/>
      <c r="F48" s="24"/>
    </row>
    <row r="49" spans="1:6">
      <c r="A49">
        <f>Import!A49</f>
        <v>48</v>
      </c>
      <c r="B49" s="3">
        <v>55379.822490920997</v>
      </c>
      <c r="C49" s="23"/>
      <c r="D49" s="23"/>
      <c r="E49" s="24"/>
      <c r="F49" s="24"/>
    </row>
    <row r="50" spans="1:6">
      <c r="A50">
        <f>Import!A50</f>
        <v>49</v>
      </c>
      <c r="B50" s="3">
        <v>48576.149756432002</v>
      </c>
      <c r="C50" s="23">
        <v>5</v>
      </c>
      <c r="D50" s="23">
        <f t="shared" ref="D50" si="14">SUM(B50:B52)</f>
        <v>145728.00449470201</v>
      </c>
      <c r="E50" s="24">
        <f>SUMPRODUCT('Results_e,f'!$B50:$B52,Import!H50:H52)/$D50</f>
        <v>-73.374714979357705</v>
      </c>
      <c r="F50" s="24">
        <f>SUMPRODUCT('Results_e,f'!$B50:$B52,Import!I50:I52)/$D50</f>
        <v>-24.143320649642256</v>
      </c>
    </row>
    <row r="51" spans="1:6">
      <c r="A51">
        <f>Import!A51</f>
        <v>50</v>
      </c>
      <c r="B51" s="3">
        <v>48575.927369135003</v>
      </c>
      <c r="C51" s="23"/>
      <c r="D51" s="23"/>
      <c r="E51" s="24"/>
      <c r="F51" s="24"/>
    </row>
    <row r="52" spans="1:6">
      <c r="A52">
        <f>Import!A52</f>
        <v>51</v>
      </c>
      <c r="B52" s="3">
        <v>48575.927369135003</v>
      </c>
      <c r="C52" s="23"/>
      <c r="D52" s="23"/>
      <c r="E52" s="24"/>
      <c r="F52" s="24"/>
    </row>
    <row r="53" spans="1:6">
      <c r="A53">
        <f>Import!A53</f>
        <v>52</v>
      </c>
      <c r="B53" s="3">
        <v>55379.917647625</v>
      </c>
      <c r="C53" s="23">
        <v>6</v>
      </c>
      <c r="D53" s="23">
        <f t="shared" ref="D53" si="15">SUM(B53:B55)</f>
        <v>166140.00376875699</v>
      </c>
      <c r="E53" s="24">
        <f>SUMPRODUCT('Results_e,f'!$B53:$B55,Import!H53:H55)/$D53</f>
        <v>-83.8799059140472</v>
      </c>
      <c r="F53" s="24">
        <f>SUMPRODUCT('Results_e,f'!$B53:$B55,Import!I53:I55)/$D53</f>
        <v>-27.599415532347308</v>
      </c>
    </row>
    <row r="54" spans="1:6">
      <c r="A54">
        <f>Import!A54</f>
        <v>53</v>
      </c>
      <c r="B54" s="3">
        <v>55380.173443685999</v>
      </c>
      <c r="C54" s="23"/>
      <c r="D54" s="23"/>
      <c r="E54" s="24"/>
      <c r="F54" s="24"/>
    </row>
    <row r="55" spans="1:6">
      <c r="A55">
        <f>Import!A55</f>
        <v>54</v>
      </c>
      <c r="B55" s="3">
        <v>55379.912677446002</v>
      </c>
      <c r="C55" s="23"/>
      <c r="D55" s="23"/>
      <c r="E55" s="24"/>
      <c r="F55" s="24"/>
    </row>
    <row r="56" spans="1:6">
      <c r="A56">
        <f>Import!A56</f>
        <v>55</v>
      </c>
      <c r="B56" s="3">
        <v>48575.927369135003</v>
      </c>
      <c r="C56" s="23">
        <v>7</v>
      </c>
      <c r="D56" s="23">
        <f t="shared" ref="D56" si="16">SUM(B56:B58)</f>
        <v>145728.00687262299</v>
      </c>
      <c r="E56" s="24">
        <f>SUMPRODUCT('Results_e,f'!$B56:$B58,Import!H56:H58)/$D56</f>
        <v>-72.454444955151644</v>
      </c>
      <c r="F56" s="24">
        <f>SUMPRODUCT('Results_e,f'!$B56:$B58,Import!I56:I58)/$D56</f>
        <v>-23.839513801626651</v>
      </c>
    </row>
    <row r="57" spans="1:6">
      <c r="A57">
        <f>Import!A57</f>
        <v>56</v>
      </c>
      <c r="B57" s="3">
        <v>48576.152134352997</v>
      </c>
      <c r="C57" s="23"/>
      <c r="D57" s="23"/>
      <c r="E57" s="24"/>
      <c r="F57" s="24"/>
    </row>
    <row r="58" spans="1:6">
      <c r="A58">
        <f>Import!A58</f>
        <v>57</v>
      </c>
      <c r="B58" s="3">
        <v>48575.927369135003</v>
      </c>
      <c r="C58" s="23"/>
      <c r="D58" s="23"/>
      <c r="E58" s="24"/>
      <c r="F58" s="24"/>
    </row>
    <row r="59" spans="1:6">
      <c r="A59">
        <f>Import!A59</f>
        <v>58</v>
      </c>
      <c r="B59" s="3">
        <v>48576.006476401002</v>
      </c>
      <c r="C59" s="23">
        <v>8</v>
      </c>
      <c r="D59" s="23">
        <f t="shared" ref="D59" si="17">SUM(B59:B61)</f>
        <v>145728.085979889</v>
      </c>
      <c r="E59" s="24">
        <f>SUMPRODUCT('Results_e,f'!$B59:$B61,Import!H59:H61)/$D59</f>
        <v>-73.378352344805009</v>
      </c>
      <c r="F59" s="24">
        <f>SUMPRODUCT('Results_e,f'!$B59:$B61,Import!I59:I61)/$D59</f>
        <v>-24.143365233154984</v>
      </c>
    </row>
    <row r="60" spans="1:6">
      <c r="A60">
        <f>Import!A60</f>
        <v>59</v>
      </c>
      <c r="B60" s="3">
        <v>48575.927369135003</v>
      </c>
      <c r="C60" s="23"/>
      <c r="D60" s="23"/>
      <c r="E60" s="24"/>
      <c r="F60" s="24"/>
    </row>
    <row r="61" spans="1:6">
      <c r="A61">
        <f>Import!A61</f>
        <v>60</v>
      </c>
      <c r="B61" s="3">
        <v>48576.152134352997</v>
      </c>
      <c r="C61" s="23"/>
      <c r="D61" s="23"/>
      <c r="E61" s="24"/>
      <c r="F61" s="24"/>
    </row>
    <row r="62" spans="1:6">
      <c r="A62">
        <f>Import!A62</f>
        <v>61</v>
      </c>
      <c r="B62" s="3">
        <v>48575.929030533996</v>
      </c>
      <c r="C62" s="23">
        <v>9</v>
      </c>
      <c r="D62" s="23">
        <f t="shared" ref="D62" si="18">SUM(B62:B64)</f>
        <v>145728.004570822</v>
      </c>
      <c r="E62" s="24">
        <f>SUMPRODUCT('Results_e,f'!$B62:$B64,Import!H62:H64)/$D62</f>
        <v>-67.390114385738698</v>
      </c>
      <c r="F62" s="24">
        <f>SUMPRODUCT('Results_e,f'!$B62:$B64,Import!I62:I64)/$D62</f>
        <v>-22.173340015479969</v>
      </c>
    </row>
    <row r="63" spans="1:6">
      <c r="A63">
        <f>Import!A63</f>
        <v>62</v>
      </c>
      <c r="B63" s="3">
        <v>48575.927369135003</v>
      </c>
      <c r="C63" s="23"/>
      <c r="D63" s="23"/>
      <c r="E63" s="24"/>
      <c r="F63" s="24"/>
    </row>
    <row r="64" spans="1:6">
      <c r="A64">
        <f>Import!A64</f>
        <v>63</v>
      </c>
      <c r="B64" s="3">
        <v>48576.148171153</v>
      </c>
      <c r="C64" s="23"/>
      <c r="D64" s="23"/>
      <c r="E64" s="24"/>
      <c r="F64" s="24"/>
    </row>
    <row r="65" spans="1:1">
      <c r="A65">
        <f>Import!A65</f>
        <v>65</v>
      </c>
    </row>
  </sheetData>
  <mergeCells count="118">
    <mergeCell ref="C20:C22"/>
    <mergeCell ref="C23:C25"/>
    <mergeCell ref="C26:C28"/>
    <mergeCell ref="C29:C31"/>
    <mergeCell ref="D2:D4"/>
    <mergeCell ref="D5:D7"/>
    <mergeCell ref="D8:D10"/>
    <mergeCell ref="D11:D13"/>
    <mergeCell ref="D14:D16"/>
    <mergeCell ref="D17:D19"/>
    <mergeCell ref="C2:C4"/>
    <mergeCell ref="C5:C7"/>
    <mergeCell ref="C8:C10"/>
    <mergeCell ref="C11:C13"/>
    <mergeCell ref="C14:C16"/>
    <mergeCell ref="C17:C19"/>
    <mergeCell ref="D20:D22"/>
    <mergeCell ref="D23:D25"/>
    <mergeCell ref="D26:D28"/>
    <mergeCell ref="D29:D31"/>
    <mergeCell ref="E2:E4"/>
    <mergeCell ref="E5:E7"/>
    <mergeCell ref="E8:E10"/>
    <mergeCell ref="E11:E13"/>
    <mergeCell ref="E14:E16"/>
    <mergeCell ref="E17:E19"/>
    <mergeCell ref="E20:E22"/>
    <mergeCell ref="E23:E25"/>
    <mergeCell ref="E26:E28"/>
    <mergeCell ref="E29:E31"/>
    <mergeCell ref="J2:J4"/>
    <mergeCell ref="F5:F7"/>
    <mergeCell ref="G5:G7"/>
    <mergeCell ref="H5:H7"/>
    <mergeCell ref="I5:I7"/>
    <mergeCell ref="J5:J7"/>
    <mergeCell ref="G2:G4"/>
    <mergeCell ref="F2:F4"/>
    <mergeCell ref="F8:F10"/>
    <mergeCell ref="H2:H4"/>
    <mergeCell ref="I2:I4"/>
    <mergeCell ref="H8:H10"/>
    <mergeCell ref="I8:I10"/>
    <mergeCell ref="J14:J16"/>
    <mergeCell ref="F17:F19"/>
    <mergeCell ref="G17:G19"/>
    <mergeCell ref="H17:H19"/>
    <mergeCell ref="I17:I19"/>
    <mergeCell ref="J17:J19"/>
    <mergeCell ref="G14:G16"/>
    <mergeCell ref="J8:J10"/>
    <mergeCell ref="F11:F13"/>
    <mergeCell ref="G11:G13"/>
    <mergeCell ref="H11:H13"/>
    <mergeCell ref="I11:I13"/>
    <mergeCell ref="J11:J13"/>
    <mergeCell ref="G8:G10"/>
    <mergeCell ref="F14:F16"/>
    <mergeCell ref="H14:H16"/>
    <mergeCell ref="I14:I16"/>
    <mergeCell ref="F20:F22"/>
    <mergeCell ref="G20:G22"/>
    <mergeCell ref="H20:H22"/>
    <mergeCell ref="I20:I22"/>
    <mergeCell ref="J20:J22"/>
    <mergeCell ref="F23:F25"/>
    <mergeCell ref="G23:G25"/>
    <mergeCell ref="H23:H25"/>
    <mergeCell ref="I23:I25"/>
    <mergeCell ref="J23:J25"/>
    <mergeCell ref="F26:F28"/>
    <mergeCell ref="G26:G28"/>
    <mergeCell ref="H26:H28"/>
    <mergeCell ref="I26:I28"/>
    <mergeCell ref="J26:J28"/>
    <mergeCell ref="F29:F31"/>
    <mergeCell ref="G29:G31"/>
    <mergeCell ref="H29:H31"/>
    <mergeCell ref="I29:I31"/>
    <mergeCell ref="J29:J31"/>
    <mergeCell ref="C53:C55"/>
    <mergeCell ref="C56:C58"/>
    <mergeCell ref="C59:C61"/>
    <mergeCell ref="C62:C64"/>
    <mergeCell ref="D32:D34"/>
    <mergeCell ref="D35:D37"/>
    <mergeCell ref="D38:D40"/>
    <mergeCell ref="D41:D43"/>
    <mergeCell ref="D44:D46"/>
    <mergeCell ref="D47:D49"/>
    <mergeCell ref="D50:D52"/>
    <mergeCell ref="D53:D55"/>
    <mergeCell ref="D56:D58"/>
    <mergeCell ref="D59:D61"/>
    <mergeCell ref="D62:D64"/>
    <mergeCell ref="C38:C40"/>
    <mergeCell ref="C41:C43"/>
    <mergeCell ref="C44:C46"/>
    <mergeCell ref="C47:C49"/>
    <mergeCell ref="C50:C52"/>
    <mergeCell ref="E53:E55"/>
    <mergeCell ref="E56:E58"/>
    <mergeCell ref="E59:E61"/>
    <mergeCell ref="E62:E64"/>
    <mergeCell ref="F38:F40"/>
    <mergeCell ref="F41:F43"/>
    <mergeCell ref="F44:F46"/>
    <mergeCell ref="F47:F49"/>
    <mergeCell ref="F50:F52"/>
    <mergeCell ref="F53:F55"/>
    <mergeCell ref="F56:F58"/>
    <mergeCell ref="F59:F61"/>
    <mergeCell ref="F62:F64"/>
    <mergeCell ref="E38:E40"/>
    <mergeCell ref="E41:E43"/>
    <mergeCell ref="E44:E46"/>
    <mergeCell ref="E47:E49"/>
    <mergeCell ref="E50:E5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D113-1FD6-934D-8173-908D9D51D731}">
  <dimension ref="A1:AQ43"/>
  <sheetViews>
    <sheetView topLeftCell="K1" zoomScale="55" zoomScaleNormal="55" workbookViewId="0">
      <selection activeCell="B35" sqref="B35"/>
    </sheetView>
  </sheetViews>
  <sheetFormatPr baseColWidth="10" defaultRowHeight="15.6"/>
  <cols>
    <col min="2" max="7" width="25" customWidth="1"/>
    <col min="9" max="9" width="32.5" customWidth="1"/>
    <col min="10" max="10" width="37.69921875" customWidth="1"/>
    <col min="11" max="12" width="36.796875" customWidth="1"/>
    <col min="14" max="14" width="17" customWidth="1"/>
    <col min="15" max="15" width="16.69921875" customWidth="1"/>
    <col min="23" max="23" width="18.5" customWidth="1"/>
    <col min="36" max="36" width="15" customWidth="1"/>
    <col min="37" max="37" width="15.5" customWidth="1"/>
  </cols>
  <sheetData>
    <row r="1" spans="1:43">
      <c r="A1" t="s">
        <v>19</v>
      </c>
      <c r="B1" s="12" t="s">
        <v>20</v>
      </c>
      <c r="C1" s="4" t="s">
        <v>23</v>
      </c>
      <c r="D1" s="4" t="s">
        <v>21</v>
      </c>
      <c r="E1" s="4" t="s">
        <v>24</v>
      </c>
      <c r="F1" s="4" t="s">
        <v>22</v>
      </c>
      <c r="G1" s="4" t="s">
        <v>25</v>
      </c>
      <c r="I1" s="9" t="s">
        <v>26</v>
      </c>
      <c r="J1" s="9" t="s">
        <v>27</v>
      </c>
      <c r="K1" s="9" t="s">
        <v>28</v>
      </c>
      <c r="L1" s="9" t="s">
        <v>29</v>
      </c>
      <c r="N1" s="10" t="s">
        <v>30</v>
      </c>
      <c r="O1" s="10" t="s">
        <v>31</v>
      </c>
      <c r="Q1" s="21" t="s">
        <v>41</v>
      </c>
      <c r="R1" s="21"/>
      <c r="S1" s="21"/>
      <c r="T1" s="21"/>
      <c r="U1" s="21"/>
      <c r="V1" s="21"/>
      <c r="W1" t="s">
        <v>42</v>
      </c>
      <c r="Y1" s="21" t="s">
        <v>43</v>
      </c>
      <c r="Z1" s="21"/>
      <c r="AA1" s="21"/>
      <c r="AB1" s="21"/>
      <c r="AC1" s="21"/>
      <c r="AD1" s="21"/>
      <c r="AE1" t="s">
        <v>44</v>
      </c>
      <c r="AG1" t="s">
        <v>45</v>
      </c>
      <c r="AH1" t="s">
        <v>46</v>
      </c>
      <c r="AJ1" t="s">
        <v>47</v>
      </c>
      <c r="AK1" t="s">
        <v>48</v>
      </c>
      <c r="AM1" t="s">
        <v>54</v>
      </c>
      <c r="AN1" t="s">
        <v>55</v>
      </c>
      <c r="AP1" t="s">
        <v>56</v>
      </c>
      <c r="AQ1" t="s">
        <v>57</v>
      </c>
    </row>
    <row r="2" spans="1:43">
      <c r="A2" s="23">
        <f>'Results_e,f'!C2</f>
        <v>1</v>
      </c>
      <c r="B2" s="23">
        <f>'Results_e,f'!E2</f>
        <v>-55.413272966050641</v>
      </c>
      <c r="C2" s="23">
        <f>'Results_e,f'!F2</f>
        <v>-23.279955056006532</v>
      </c>
      <c r="D2" s="23">
        <f>'Results_e,f'!G2</f>
        <v>39.399464897236562</v>
      </c>
      <c r="E2" s="23">
        <f>'Results_e,f'!H2</f>
        <v>155.56517208700083</v>
      </c>
      <c r="F2" s="23">
        <f>'Results_e,f'!I2</f>
        <v>23.846147653298427</v>
      </c>
      <c r="G2" s="23">
        <f>'Results_e,f'!J2</f>
        <v>7.8462151433468197</v>
      </c>
      <c r="I2" s="23">
        <f>MAX(-MIN(B2,0),-MIN(F2,0))</f>
        <v>55.413272966050641</v>
      </c>
      <c r="J2" s="23">
        <f>IF(-MIN(B2,0)&gt;=-MIN(F2,0),F2,B2)</f>
        <v>23.846147653298427</v>
      </c>
      <c r="K2" s="23">
        <f>MAX(-MIN(C2,0),-MIN(G2,0))</f>
        <v>23.279955056006532</v>
      </c>
      <c r="L2" s="23">
        <f>IF(-MIN(C2,0)&gt;=-MIN(G2,0),G2,C2)</f>
        <v>7.8462151433468197</v>
      </c>
      <c r="N2" s="23">
        <f>IF(J2&gt;0,-J2/I2,ABS(J2)/I2)</f>
        <v>-0.43033277727355951</v>
      </c>
      <c r="O2" s="23">
        <f>IF(L2&gt;0,-L2/K2,ABS(L2)/K2)</f>
        <v>-0.33703738364058372</v>
      </c>
      <c r="Q2" s="23">
        <f xml:space="preserve"> ((F$35^2+$B$40^2)^2)/($B$40^2*(F$35^2+$N2*$B$40^2))</f>
        <v>-3.8674314186628855</v>
      </c>
      <c r="R2" s="23">
        <f t="shared" ref="R2:V2" si="0" xml:space="preserve"> ((G$35^2+$B$40^2)^2)/($B$40^2*(G$35^2+$N2*$B$40^2))</f>
        <v>147.85069175888054</v>
      </c>
      <c r="S2" s="23">
        <f xml:space="preserve"> ((H$35^2+$B$40^2)^2)/($B$40^2*(H$35^2+$N2*$B$40^2))</f>
        <v>7.0216432338443271</v>
      </c>
      <c r="T2" s="23">
        <f xml:space="preserve"> ((I$35^2+$B$40^2)^2)/($B$40^2*(I$35^2+$N2*$B$40^2))</f>
        <v>5.7264299320778802</v>
      </c>
      <c r="U2" s="23">
        <f xml:space="preserve"> ((J$35^2+$B$40^2)^2)/($B$40^2*(J$35^2+$N2*$B$40^2))</f>
        <v>6.0796333610398294</v>
      </c>
      <c r="V2" s="23">
        <f t="shared" si="0"/>
        <v>7.0034539468655286</v>
      </c>
      <c r="W2" s="24">
        <f>_xlfn.MINIFS(Q2:V2,Q2:V2,"&gt;0")</f>
        <v>5.7264299320778802</v>
      </c>
      <c r="Y2" s="23">
        <f xml:space="preserve"> ((F$35^2+$B$40^2)^2)/($B$40^2*(F$35^2+$O2*$B$40^2))</f>
        <v>-5.4644724910137024</v>
      </c>
      <c r="Z2" s="23">
        <f t="shared" ref="Z2:AD2" si="1" xml:space="preserve"> ((G$35^2+$B$40^2)^2)/($B$40^2*(G$35^2+$O2*$B$40^2))</f>
        <v>19.425350041898028</v>
      </c>
      <c r="AA2" s="23">
        <f t="shared" si="1"/>
        <v>6.0335227074575402</v>
      </c>
      <c r="AB2" s="23">
        <f t="shared" si="1"/>
        <v>5.3556139705077852</v>
      </c>
      <c r="AC2" s="23">
        <f t="shared" si="1"/>
        <v>5.8472441282788052</v>
      </c>
      <c r="AD2" s="23">
        <f t="shared" si="1"/>
        <v>6.8250764799907406</v>
      </c>
      <c r="AE2" s="24">
        <f>_xlfn.MINIFS(Y2:AD2,Y2:AD2,"&gt;0")</f>
        <v>5.3556139705077852</v>
      </c>
      <c r="AG2" s="23">
        <f>W2*$B$41</f>
        <v>132.92773182300081</v>
      </c>
      <c r="AH2" s="23">
        <f>AE2*$B$41</f>
        <v>124.31997353730885</v>
      </c>
      <c r="AJ2" s="23">
        <f>1.5*I2 / AG2</f>
        <v>0.62530149509926058</v>
      </c>
      <c r="AK2" s="23">
        <f>1.5*K2 / AH2</f>
        <v>0.28088754839969626</v>
      </c>
      <c r="AM2" s="23">
        <f>ABS((D2*1.5) / $B$43)</f>
        <v>0.44013741150871188</v>
      </c>
      <c r="AN2" s="23">
        <f>ABS((E2*1.5) / $B$43)</f>
        <v>1.7378421849602905</v>
      </c>
      <c r="AP2" s="24">
        <f>1/((AJ2)+(AM2)^2)</f>
        <v>1.2209677731796567</v>
      </c>
      <c r="AQ2" s="24">
        <f>1/((AK2)+(AN2)^2)</f>
        <v>0.30294006285631753</v>
      </c>
    </row>
    <row r="3" spans="1:43">
      <c r="A3" s="23"/>
      <c r="B3" s="23"/>
      <c r="C3" s="23"/>
      <c r="D3" s="23"/>
      <c r="E3" s="23"/>
      <c r="F3" s="23"/>
      <c r="G3" s="23"/>
      <c r="I3" s="23"/>
      <c r="J3" s="23"/>
      <c r="K3" s="23"/>
      <c r="L3" s="23"/>
      <c r="N3" s="23"/>
      <c r="O3" s="23"/>
      <c r="Q3" s="23"/>
      <c r="R3" s="23"/>
      <c r="S3" s="23"/>
      <c r="T3" s="23"/>
      <c r="U3" s="23"/>
      <c r="V3" s="23"/>
      <c r="W3" s="24"/>
      <c r="Y3" s="23"/>
      <c r="Z3" s="23"/>
      <c r="AA3" s="23"/>
      <c r="AB3" s="23"/>
      <c r="AC3" s="23"/>
      <c r="AD3" s="23"/>
      <c r="AE3" s="24"/>
      <c r="AG3" s="23"/>
      <c r="AH3" s="23"/>
      <c r="AJ3" s="23"/>
      <c r="AK3" s="23"/>
      <c r="AM3" s="23"/>
      <c r="AN3" s="23"/>
      <c r="AP3" s="24"/>
      <c r="AQ3" s="24"/>
    </row>
    <row r="4" spans="1:43">
      <c r="A4" s="23"/>
      <c r="B4" s="23"/>
      <c r="C4" s="23"/>
      <c r="D4" s="23"/>
      <c r="E4" s="23"/>
      <c r="F4" s="23"/>
      <c r="G4" s="23"/>
      <c r="I4" s="23"/>
      <c r="J4" s="23"/>
      <c r="K4" s="23"/>
      <c r="L4" s="23"/>
      <c r="N4" s="23"/>
      <c r="O4" s="23"/>
      <c r="Q4" s="23"/>
      <c r="R4" s="23"/>
      <c r="S4" s="23"/>
      <c r="T4" s="23"/>
      <c r="U4" s="23"/>
      <c r="V4" s="23"/>
      <c r="W4" s="24"/>
      <c r="Y4" s="23"/>
      <c r="Z4" s="23"/>
      <c r="AA4" s="23"/>
      <c r="AB4" s="23"/>
      <c r="AC4" s="23"/>
      <c r="AD4" s="23"/>
      <c r="AE4" s="24"/>
      <c r="AG4" s="23"/>
      <c r="AH4" s="23"/>
      <c r="AJ4" s="23"/>
      <c r="AK4" s="23"/>
      <c r="AM4" s="23"/>
      <c r="AN4" s="23"/>
      <c r="AP4" s="24"/>
      <c r="AQ4" s="24"/>
    </row>
    <row r="5" spans="1:43">
      <c r="A5" s="23">
        <f>'Results_e,f'!C5</f>
        <v>2</v>
      </c>
      <c r="B5" s="23">
        <f>'Results_e,f'!E5</f>
        <v>-91.457956292773275</v>
      </c>
      <c r="C5" s="23">
        <f>'Results_e,f'!F5</f>
        <v>-30.092478229483675</v>
      </c>
      <c r="D5" s="23">
        <f>'Results_e,f'!G5</f>
        <v>39.032756873157155</v>
      </c>
      <c r="E5" s="23">
        <f>'Results_e,f'!H5</f>
        <v>154.11746042478134</v>
      </c>
      <c r="F5" s="23">
        <f>'Results_e,f'!I5</f>
        <v>23.846152654191794</v>
      </c>
      <c r="G5" s="23">
        <f>'Results_e,f'!J5</f>
        <v>7.8462545426913328</v>
      </c>
      <c r="I5" s="23">
        <f t="shared" ref="I5" si="2">MAX(-MIN(B5,0),-MIN(F5,0))</f>
        <v>91.457956292773275</v>
      </c>
      <c r="J5" s="23">
        <f t="shared" ref="J5" si="3">IF(-MIN(B5,0)&gt;=-MIN(F5,0),F5,B5)</f>
        <v>23.846152654191794</v>
      </c>
      <c r="K5" s="23">
        <f t="shared" ref="K5" si="4">MAX(-MIN(C5,0),-MIN(G5,0))</f>
        <v>30.092478229483675</v>
      </c>
      <c r="L5" s="23">
        <f t="shared" ref="L5" si="5">IF(-MIN(C5,0)&gt;=-MIN(G5,0),G5,C5)</f>
        <v>7.8462545426913328</v>
      </c>
      <c r="N5" s="23">
        <f>IF(J5&gt;0,-J5/I5,ABS(J5)/I5)</f>
        <v>-0.26073349570436488</v>
      </c>
      <c r="O5" s="23">
        <f t="shared" ref="O5" si="6">IF(L5&gt;0,-L5/K5,ABS(L5)/K5)</f>
        <v>-0.26073806493623436</v>
      </c>
      <c r="Q5" s="23">
        <f xml:space="preserve"> ((F$35^2+$B$40^2)^2)/($B$40^2*(F$35^2+$N5*$B$40^2))</f>
        <v>-8.2512246051332667</v>
      </c>
      <c r="R5" s="23">
        <f t="shared" ref="R5:V5" si="7" xml:space="preserve"> ((G$35^2+$B$40^2)^2)/($B$40^2*(G$35^2+$N5*$B$40^2))</f>
        <v>11.357078973220895</v>
      </c>
      <c r="S5" s="23">
        <f t="shared" si="7"/>
        <v>5.4107686155903352</v>
      </c>
      <c r="T5" s="23">
        <f t="shared" si="7"/>
        <v>5.0862387300719893</v>
      </c>
      <c r="U5" s="23">
        <f t="shared" si="7"/>
        <v>5.6699856414585534</v>
      </c>
      <c r="V5" s="23">
        <f t="shared" si="7"/>
        <v>6.6858032106778769</v>
      </c>
      <c r="W5" s="24">
        <f t="shared" ref="W5" si="8">_xlfn.MINIFS(Q5:V5,Q5:V5,"&gt;0")</f>
        <v>5.0862387300719893</v>
      </c>
      <c r="Y5" s="23">
        <f t="shared" ref="Y5" si="9" xml:space="preserve"> ((F$35^2+$B$40^2)^2)/($B$40^2*(F$35^2+$O5*$B$40^2))</f>
        <v>-8.2509726334298765</v>
      </c>
      <c r="Z5" s="23">
        <f t="shared" ref="Z5" si="10" xml:space="preserve"> ((G$35^2+$B$40^2)^2)/($B$40^2*(G$35^2+$O5*$B$40^2))</f>
        <v>11.35736145185516</v>
      </c>
      <c r="AA5" s="23">
        <f t="shared" ref="AA5" si="11" xml:space="preserve"> ((H$35^2+$B$40^2)^2)/($B$40^2*(H$35^2+$O5*$B$40^2))</f>
        <v>5.4108020584814458</v>
      </c>
      <c r="AB5" s="23">
        <f t="shared" ref="AB5" si="12" xml:space="preserve"> ((I$35^2+$B$40^2)^2)/($B$40^2*(I$35^2+$O5*$B$40^2))</f>
        <v>5.0862540495154462</v>
      </c>
      <c r="AC5" s="23">
        <f t="shared" ref="AC5" si="13" xml:space="preserve"> ((J$35^2+$B$40^2)^2)/($B$40^2*(J$35^2+$O5*$B$40^2))</f>
        <v>5.6699959342953976</v>
      </c>
      <c r="AD5" s="23">
        <f t="shared" ref="AD5" si="14" xml:space="preserve"> ((K$35^2+$B$40^2)^2)/($B$40^2*(K$35^2+$O5*$B$40^2))</f>
        <v>6.6858113804679675</v>
      </c>
      <c r="AE5" s="24">
        <f t="shared" ref="AE5" si="15">_xlfn.MINIFS(Y5:AD5,Y5:AD5,"&gt;0")</f>
        <v>5.0862540495154462</v>
      </c>
      <c r="AG5" s="23">
        <f t="shared" ref="AG5" si="16">W5*$B$41</f>
        <v>118.06696072738649</v>
      </c>
      <c r="AH5" s="23">
        <f>AE5*$B$41</f>
        <v>118.06731633793191</v>
      </c>
      <c r="AJ5" s="23">
        <f t="shared" ref="AJ5" si="17">1.5*I5 / AG5</f>
        <v>1.1619417794273621</v>
      </c>
      <c r="AK5" s="23">
        <f t="shared" ref="AK5" si="18">1.5*K5 / AH5</f>
        <v>0.38231340174642076</v>
      </c>
      <c r="AM5" s="23">
        <f t="shared" ref="AM5:AN5" si="19">ABS((D5*1.5) / $B$43)</f>
        <v>0.43604086042816392</v>
      </c>
      <c r="AN5" s="23">
        <f t="shared" si="19"/>
        <v>1.7216695779139204</v>
      </c>
      <c r="AP5" s="24">
        <f t="shared" ref="AP5:AQ5" si="20">1/((AJ5)+(AM5)^2)</f>
        <v>0.73960481108176712</v>
      </c>
      <c r="AQ5" s="24">
        <f t="shared" si="20"/>
        <v>0.2988232754245585</v>
      </c>
    </row>
    <row r="6" spans="1:43">
      <c r="A6" s="23"/>
      <c r="B6" s="23"/>
      <c r="C6" s="23"/>
      <c r="D6" s="23"/>
      <c r="E6" s="23"/>
      <c r="F6" s="23"/>
      <c r="G6" s="23"/>
      <c r="I6" s="23"/>
      <c r="J6" s="23"/>
      <c r="K6" s="23"/>
      <c r="L6" s="23"/>
      <c r="N6" s="23"/>
      <c r="O6" s="23"/>
      <c r="Q6" s="23"/>
      <c r="R6" s="23"/>
      <c r="S6" s="23"/>
      <c r="T6" s="23"/>
      <c r="U6" s="23"/>
      <c r="V6" s="23"/>
      <c r="W6" s="24"/>
      <c r="Y6" s="23"/>
      <c r="Z6" s="23"/>
      <c r="AA6" s="23"/>
      <c r="AB6" s="23"/>
      <c r="AC6" s="23"/>
      <c r="AD6" s="23"/>
      <c r="AE6" s="24"/>
      <c r="AG6" s="23"/>
      <c r="AH6" s="23"/>
      <c r="AJ6" s="23"/>
      <c r="AK6" s="23"/>
      <c r="AM6" s="23"/>
      <c r="AN6" s="23"/>
      <c r="AP6" s="24"/>
      <c r="AQ6" s="24"/>
    </row>
    <row r="7" spans="1:43">
      <c r="A7" s="23"/>
      <c r="B7" s="23"/>
      <c r="C7" s="23"/>
      <c r="D7" s="23"/>
      <c r="E7" s="23"/>
      <c r="F7" s="23"/>
      <c r="G7" s="23"/>
      <c r="I7" s="23"/>
      <c r="J7" s="23"/>
      <c r="K7" s="23"/>
      <c r="L7" s="23"/>
      <c r="N7" s="23"/>
      <c r="O7" s="23"/>
      <c r="Q7" s="23"/>
      <c r="R7" s="23"/>
      <c r="S7" s="23"/>
      <c r="T7" s="23"/>
      <c r="U7" s="23"/>
      <c r="V7" s="23"/>
      <c r="W7" s="24"/>
      <c r="Y7" s="23"/>
      <c r="Z7" s="23"/>
      <c r="AA7" s="23"/>
      <c r="AB7" s="23"/>
      <c r="AC7" s="23"/>
      <c r="AD7" s="23"/>
      <c r="AE7" s="24"/>
      <c r="AG7" s="23"/>
      <c r="AH7" s="23"/>
      <c r="AJ7" s="23"/>
      <c r="AK7" s="23"/>
      <c r="AM7" s="23"/>
      <c r="AN7" s="23"/>
      <c r="AP7" s="24"/>
      <c r="AQ7" s="24"/>
    </row>
    <row r="8" spans="1:43">
      <c r="A8" s="23">
        <f>'Results_e,f'!C8</f>
        <v>3</v>
      </c>
      <c r="B8" s="23">
        <f>'Results_e,f'!E8</f>
        <v>-93.462360205020303</v>
      </c>
      <c r="C8" s="23">
        <f>'Results_e,f'!F8</f>
        <v>-30.752011325182355</v>
      </c>
      <c r="D8" s="23">
        <f>'Results_e,f'!G8</f>
        <v>39.135793297071388</v>
      </c>
      <c r="E8" s="23">
        <f>'Results_e,f'!H8</f>
        <v>154.52201225594342</v>
      </c>
      <c r="F8" s="23">
        <f>'Results_e,f'!I8</f>
        <v>23.846018873279803</v>
      </c>
      <c r="G8" s="23">
        <f>'Results_e,f'!J8</f>
        <v>7.8456136776305456</v>
      </c>
      <c r="I8" s="23">
        <f t="shared" ref="I8" si="21">MAX(-MIN(B8,0),-MIN(F8,0))</f>
        <v>93.462360205020303</v>
      </c>
      <c r="J8" s="23">
        <f t="shared" ref="J8" si="22">IF(-MIN(B8,0)&gt;=-MIN(F8,0),F8,B8)</f>
        <v>23.846018873279803</v>
      </c>
      <c r="K8" s="23">
        <f t="shared" ref="K8" si="23">MAX(-MIN(C8,0),-MIN(G8,0))</f>
        <v>30.752011325182355</v>
      </c>
      <c r="L8" s="23">
        <f t="shared" ref="L8" si="24">IF(-MIN(C8,0)&gt;=-MIN(G8,0),G8,C8)</f>
        <v>7.8456136776305456</v>
      </c>
      <c r="N8" s="23">
        <f t="shared" ref="N8" si="25">IF(J8&gt;0,-J8/I8,ABS(J8)/I8)</f>
        <v>-0.25514034549278292</v>
      </c>
      <c r="O8" s="23">
        <f t="shared" ref="O8" si="26">IF(L8&gt;0,-L8/K8,ABS(L8)/K8)</f>
        <v>-0.25512522074307026</v>
      </c>
      <c r="Q8" s="23">
        <f t="shared" ref="Q8:Q17" si="27" xml:space="preserve"> ((F$35^2+$B$40^2)^2)/($B$40^2*(F$35^2+$N8*$B$40^2))</f>
        <v>-8.5716480167006353</v>
      </c>
      <c r="R8" s="23">
        <f t="shared" ref="R8" si="28" xml:space="preserve"> ((G$35^2+$B$40^2)^2)/($B$40^2*(G$35^2+$N8*$B$40^2))</f>
        <v>11.021524439463844</v>
      </c>
      <c r="S8" s="23">
        <f t="shared" ref="S8" si="29" xml:space="preserve"> ((H$35^2+$B$40^2)^2)/($B$40^2*(H$35^2+$N8*$B$40^2))</f>
        <v>5.3701391608413971</v>
      </c>
      <c r="T8" s="23">
        <f t="shared" ref="T8" si="30" xml:space="preserve"> ((I$35^2+$B$40^2)^2)/($B$40^2*(I$35^2+$N8*$B$40^2))</f>
        <v>5.0675552952462963</v>
      </c>
      <c r="U8" s="23">
        <f t="shared" ref="U8" si="31" xml:space="preserve"> ((J$35^2+$B$40^2)^2)/($B$40^2*(J$35^2+$N8*$B$40^2))</f>
        <v>5.6574142425788247</v>
      </c>
      <c r="V8" s="23">
        <f t="shared" ref="V8" si="32" xml:space="preserve"> ((K$35^2+$B$40^2)^2)/($B$40^2*(K$35^2+$N8*$B$40^2))</f>
        <v>6.6758176023794746</v>
      </c>
      <c r="W8" s="24">
        <f t="shared" ref="W8" si="33">_xlfn.MINIFS(Q8:V8,Q8:V8,"&gt;0")</f>
        <v>5.0675552952462963</v>
      </c>
      <c r="Y8" s="23">
        <f t="shared" ref="Y8" si="34" xml:space="preserve"> ((F$35^2+$B$40^2)^2)/($B$40^2*(F$35^2+$O8*$B$40^2))</f>
        <v>-8.5725482342641008</v>
      </c>
      <c r="Z8" s="23">
        <f t="shared" ref="Z8" si="35" xml:space="preserve"> ((G$35^2+$B$40^2)^2)/($B$40^2*(G$35^2+$O8*$B$40^2))</f>
        <v>11.020643927726368</v>
      </c>
      <c r="AA8" s="23">
        <f t="shared" ref="AA8" si="36" xml:space="preserve"> ((H$35^2+$B$40^2)^2)/($B$40^2*(H$35^2+$O8*$B$40^2))</f>
        <v>5.370030119680397</v>
      </c>
      <c r="AB8" s="23">
        <f t="shared" ref="AB8" si="37" xml:space="preserve"> ((I$35^2+$B$40^2)^2)/($B$40^2*(I$35^2+$O8*$B$40^2))</f>
        <v>5.0675049584145997</v>
      </c>
      <c r="AC8" s="23">
        <f t="shared" ref="AC8" si="38" xml:space="preserve"> ((J$35^2+$B$40^2)^2)/($B$40^2*(J$35^2+$O8*$B$40^2))</f>
        <v>5.6573803231339124</v>
      </c>
      <c r="AD8" s="23">
        <f t="shared" ref="AD8" si="39" xml:space="preserve"> ((K$35^2+$B$40^2)^2)/($B$40^2*(K$35^2+$O8*$B$40^2))</f>
        <v>6.6757906401774481</v>
      </c>
      <c r="AE8" s="24">
        <f t="shared" ref="AE8" si="40">_xlfn.MINIFS(Y8:AD8,Y8:AD8,"&gt;0")</f>
        <v>5.0675049584145997</v>
      </c>
      <c r="AG8" s="23">
        <f t="shared" ref="AG8" si="41">W8*$B$41</f>
        <v>117.63326178345459</v>
      </c>
      <c r="AH8" s="23">
        <f t="shared" ref="AH8" si="42">AE8*$B$41</f>
        <v>117.63209331357999</v>
      </c>
      <c r="AJ8" s="23">
        <f t="shared" ref="AJ8" si="43">1.5*I8 / AG8</f>
        <v>1.1917848589934197</v>
      </c>
      <c r="AK8" s="23">
        <f t="shared" ref="AK8" si="44">1.5*K8 / AH8</f>
        <v>0.39213802703320849</v>
      </c>
      <c r="AM8" s="23">
        <f t="shared" ref="AM8:AN8" si="45">ABS((D8*1.5) / $B$43)</f>
        <v>0.43719189598235253</v>
      </c>
      <c r="AN8" s="23">
        <f t="shared" si="45"/>
        <v>1.7261888879160538</v>
      </c>
      <c r="AP8" s="24">
        <f t="shared" ref="AP8:AQ8" si="46">1/((AJ8)+(AM8)^2)</f>
        <v>0.72310678397642913</v>
      </c>
      <c r="AQ8" s="24">
        <f t="shared" si="46"/>
        <v>0.29657168144179852</v>
      </c>
    </row>
    <row r="9" spans="1:43">
      <c r="A9" s="23"/>
      <c r="B9" s="23"/>
      <c r="C9" s="23"/>
      <c r="D9" s="23"/>
      <c r="E9" s="23"/>
      <c r="F9" s="23"/>
      <c r="G9" s="23"/>
      <c r="I9" s="23"/>
      <c r="J9" s="23"/>
      <c r="K9" s="23"/>
      <c r="L9" s="23"/>
      <c r="N9" s="23"/>
      <c r="O9" s="23"/>
      <c r="Q9" s="23"/>
      <c r="R9" s="23"/>
      <c r="S9" s="23"/>
      <c r="T9" s="23"/>
      <c r="U9" s="23"/>
      <c r="V9" s="23"/>
      <c r="W9" s="24"/>
      <c r="Y9" s="23"/>
      <c r="Z9" s="23"/>
      <c r="AA9" s="23"/>
      <c r="AB9" s="23"/>
      <c r="AC9" s="23"/>
      <c r="AD9" s="23"/>
      <c r="AE9" s="24"/>
      <c r="AG9" s="23"/>
      <c r="AH9" s="23"/>
      <c r="AJ9" s="23"/>
      <c r="AK9" s="23"/>
      <c r="AM9" s="23"/>
      <c r="AN9" s="23"/>
      <c r="AP9" s="24"/>
      <c r="AQ9" s="24"/>
    </row>
    <row r="10" spans="1:43">
      <c r="A10" s="23"/>
      <c r="B10" s="23"/>
      <c r="C10" s="23"/>
      <c r="D10" s="23"/>
      <c r="E10" s="23"/>
      <c r="F10" s="23"/>
      <c r="G10" s="23"/>
      <c r="I10" s="23"/>
      <c r="J10" s="23"/>
      <c r="K10" s="23"/>
      <c r="L10" s="23"/>
      <c r="N10" s="23"/>
      <c r="O10" s="23"/>
      <c r="Q10" s="23"/>
      <c r="R10" s="23"/>
      <c r="S10" s="23"/>
      <c r="T10" s="23"/>
      <c r="U10" s="23"/>
      <c r="V10" s="23"/>
      <c r="W10" s="24"/>
      <c r="Y10" s="23"/>
      <c r="Z10" s="23"/>
      <c r="AA10" s="23"/>
      <c r="AB10" s="23"/>
      <c r="AC10" s="23"/>
      <c r="AD10" s="23"/>
      <c r="AE10" s="24"/>
      <c r="AG10" s="23"/>
      <c r="AH10" s="23"/>
      <c r="AJ10" s="23"/>
      <c r="AK10" s="23"/>
      <c r="AM10" s="23"/>
      <c r="AN10" s="23"/>
      <c r="AP10" s="24"/>
      <c r="AQ10" s="24"/>
    </row>
    <row r="11" spans="1:43">
      <c r="A11" s="23">
        <f>'Results_e,f'!C11</f>
        <v>4</v>
      </c>
      <c r="B11" s="23">
        <f>'Results_e,f'!E11</f>
        <v>-93.222038415665409</v>
      </c>
      <c r="C11" s="23">
        <f>'Results_e,f'!F11</f>
        <v>-30.673498199284161</v>
      </c>
      <c r="D11" s="23">
        <f>'Results_e,f'!G11</f>
        <v>39.14346902990939</v>
      </c>
      <c r="E11" s="23">
        <f>'Results_e,f'!H11</f>
        <v>154.55405316501287</v>
      </c>
      <c r="F11" s="23">
        <f>'Results_e,f'!I11</f>
        <v>23.846320774572309</v>
      </c>
      <c r="G11" s="23">
        <f>'Results_e,f'!J11</f>
        <v>7.8467995813713021</v>
      </c>
      <c r="I11" s="23">
        <f t="shared" ref="I11" si="47">MAX(-MIN(B11,0),-MIN(F11,0))</f>
        <v>93.222038415665409</v>
      </c>
      <c r="J11" s="23">
        <f t="shared" ref="J11" si="48">IF(-MIN(B11,0)&gt;=-MIN(F11,0),F11,B11)</f>
        <v>23.846320774572309</v>
      </c>
      <c r="K11" s="23">
        <f t="shared" ref="K11" si="49">MAX(-MIN(C11,0),-MIN(G11,0))</f>
        <v>30.673498199284161</v>
      </c>
      <c r="L11" s="23">
        <f t="shared" ref="L11" si="50">IF(-MIN(C11,0)&gt;=-MIN(G11,0),G11,C11)</f>
        <v>7.8467995813713021</v>
      </c>
      <c r="N11" s="23">
        <f t="shared" ref="N11" si="51">IF(J11&gt;0,-J11/I11,ABS(J11)/I11)</f>
        <v>-0.25580132316185306</v>
      </c>
      <c r="O11" s="23">
        <f t="shared" ref="O11" si="52">IF(L11&gt;0,-L11/K11,ABS(L11)/K11)</f>
        <v>-0.2558169117324357</v>
      </c>
      <c r="Q11" s="23">
        <f t="shared" si="27"/>
        <v>-8.5324907866028461</v>
      </c>
      <c r="R11" s="23">
        <f t="shared" ref="R11" si="53" xml:space="preserve"> ((G$35^2+$B$40^2)^2)/($B$40^2*(G$35^2+$N11*$B$40^2))</f>
        <v>11.060142235247046</v>
      </c>
      <c r="S11" s="23">
        <f t="shared" ref="S11" si="54" xml:space="preserve"> ((H$35^2+$B$40^2)^2)/($B$40^2*(H$35^2+$N11*$B$40^2))</f>
        <v>5.3749087770414636</v>
      </c>
      <c r="T11" s="23">
        <f t="shared" ref="T11" si="55" xml:space="preserve"> ((I$35^2+$B$40^2)^2)/($B$40^2*(I$35^2+$N11*$B$40^2))</f>
        <v>5.0697560788896814</v>
      </c>
      <c r="U11" s="23">
        <f t="shared" ref="U11" si="56" xml:space="preserve"> ((J$35^2+$B$40^2)^2)/($B$40^2*(J$35^2+$N11*$B$40^2))</f>
        <v>5.6588969782610627</v>
      </c>
      <c r="V11" s="23">
        <f t="shared" ref="V11" si="57" xml:space="preserve"> ((K$35^2+$B$40^2)^2)/($B$40^2*(K$35^2+$N11*$B$40^2))</f>
        <v>6.6769961099157484</v>
      </c>
      <c r="W11" s="24">
        <f t="shared" ref="W11" si="58">_xlfn.MINIFS(Q11:V11,Q11:V11,"&gt;0")</f>
        <v>5.0697560788896814</v>
      </c>
      <c r="Y11" s="23">
        <f t="shared" ref="Y11" si="59" xml:space="preserve"> ((F$35^2+$B$40^2)^2)/($B$40^2*(F$35^2+$O11*$B$40^2))</f>
        <v>-8.5315716158833492</v>
      </c>
      <c r="Z11" s="23">
        <f t="shared" ref="Z11" si="60" xml:space="preserve"> ((G$35^2+$B$40^2)^2)/($B$40^2*(G$35^2+$O11*$B$40^2))</f>
        <v>11.061056268343959</v>
      </c>
      <c r="AA11" s="23">
        <f t="shared" ref="AA11" si="61" xml:space="preserve"> ((H$35^2+$B$40^2)^2)/($B$40^2*(H$35^2+$O11*$B$40^2))</f>
        <v>5.3750213664649102</v>
      </c>
      <c r="AB11" s="23">
        <f t="shared" ref="AB11" si="62" xml:space="preserve"> ((I$35^2+$B$40^2)^2)/($B$40^2*(I$35^2+$O11*$B$40^2))</f>
        <v>5.0698080054879497</v>
      </c>
      <c r="AC11" s="23">
        <f t="shared" ref="AC11" si="63" xml:space="preserve"> ((J$35^2+$B$40^2)^2)/($B$40^2*(J$35^2+$O11*$B$40^2))</f>
        <v>5.6589319566448095</v>
      </c>
      <c r="AD11" s="23">
        <f t="shared" ref="AD11" si="64" xml:space="preserve"> ((K$35^2+$B$40^2)^2)/($B$40^2*(K$35^2+$O11*$B$40^2))</f>
        <v>6.6770239089903898</v>
      </c>
      <c r="AE11" s="24">
        <f t="shared" ref="AE11" si="65">_xlfn.MINIFS(Y11:AD11,Y11:AD11,"&gt;0")</f>
        <v>5.0698080054879497</v>
      </c>
      <c r="AG11" s="23">
        <f t="shared" ref="AG11" si="66">W11*$B$41</f>
        <v>117.68434861790786</v>
      </c>
      <c r="AH11" s="23">
        <f t="shared" ref="AH11" si="67">AE11*$B$41</f>
        <v>117.68555399106548</v>
      </c>
      <c r="AJ11" s="23">
        <f t="shared" ref="AJ11" si="68">1.5*I11 / AG11</f>
        <v>1.188204372677472</v>
      </c>
      <c r="AK11" s="23">
        <f t="shared" ref="AK11" si="69">1.5*K11 / AH11</f>
        <v>0.39095917670931202</v>
      </c>
      <c r="AM11" s="23">
        <f t="shared" ref="AM11:AN11" si="70">ABS((D11*1.5) / $B$43)</f>
        <v>0.4372776427606796</v>
      </c>
      <c r="AN11" s="23">
        <f t="shared" si="70"/>
        <v>1.7265468217818309</v>
      </c>
      <c r="AP11" s="24">
        <f t="shared" ref="AP11:AQ11" si="71">1/((AJ11)+(AM11)^2)</f>
        <v>0.72494441168771973</v>
      </c>
      <c r="AQ11" s="24">
        <f t="shared" si="71"/>
        <v>0.29656666804211013</v>
      </c>
    </row>
    <row r="12" spans="1:43">
      <c r="A12" s="23"/>
      <c r="B12" s="23"/>
      <c r="C12" s="23"/>
      <c r="D12" s="23"/>
      <c r="E12" s="23"/>
      <c r="F12" s="23"/>
      <c r="G12" s="23"/>
      <c r="I12" s="23"/>
      <c r="J12" s="23"/>
      <c r="K12" s="23"/>
      <c r="L12" s="23"/>
      <c r="N12" s="23"/>
      <c r="O12" s="23"/>
      <c r="Q12" s="23"/>
      <c r="R12" s="23"/>
      <c r="S12" s="23"/>
      <c r="T12" s="23"/>
      <c r="U12" s="23"/>
      <c r="V12" s="23"/>
      <c r="W12" s="24"/>
      <c r="Y12" s="23"/>
      <c r="Z12" s="23"/>
      <c r="AA12" s="23"/>
      <c r="AB12" s="23"/>
      <c r="AC12" s="23"/>
      <c r="AD12" s="23"/>
      <c r="AE12" s="24"/>
      <c r="AG12" s="23"/>
      <c r="AH12" s="23"/>
      <c r="AJ12" s="23"/>
      <c r="AK12" s="23"/>
      <c r="AM12" s="23"/>
      <c r="AN12" s="23"/>
      <c r="AP12" s="24"/>
      <c r="AQ12" s="24"/>
    </row>
    <row r="13" spans="1:43">
      <c r="A13" s="23"/>
      <c r="B13" s="23"/>
      <c r="C13" s="23"/>
      <c r="D13" s="23"/>
      <c r="E13" s="23"/>
      <c r="F13" s="23"/>
      <c r="G13" s="23"/>
      <c r="I13" s="23"/>
      <c r="J13" s="23"/>
      <c r="K13" s="23"/>
      <c r="L13" s="23"/>
      <c r="N13" s="23"/>
      <c r="O13" s="23"/>
      <c r="Q13" s="23"/>
      <c r="R13" s="23"/>
      <c r="S13" s="23"/>
      <c r="T13" s="23"/>
      <c r="U13" s="23"/>
      <c r="V13" s="23"/>
      <c r="W13" s="24"/>
      <c r="Y13" s="23"/>
      <c r="Z13" s="23"/>
      <c r="AA13" s="23"/>
      <c r="AB13" s="23"/>
      <c r="AC13" s="23"/>
      <c r="AD13" s="23"/>
      <c r="AE13" s="24"/>
      <c r="AG13" s="23"/>
      <c r="AH13" s="23"/>
      <c r="AJ13" s="23"/>
      <c r="AK13" s="23"/>
      <c r="AM13" s="23"/>
      <c r="AN13" s="23"/>
      <c r="AP13" s="24"/>
      <c r="AQ13" s="24"/>
    </row>
    <row r="14" spans="1:43">
      <c r="A14" s="23">
        <f>'Results_e,f'!C14</f>
        <v>5</v>
      </c>
      <c r="B14" s="23">
        <f>'Results_e,f'!E14</f>
        <v>-92.821111081150789</v>
      </c>
      <c r="C14" s="23">
        <f>'Results_e,f'!F14</f>
        <v>-30.540989580149905</v>
      </c>
      <c r="D14" s="23">
        <f>'Results_e,f'!G14</f>
        <v>39.142242190929672</v>
      </c>
      <c r="E14" s="23">
        <f>'Results_e,f'!H14</f>
        <v>154.54799228379497</v>
      </c>
      <c r="F14" s="23">
        <f>'Results_e,f'!I14</f>
        <v>23.846146263511852</v>
      </c>
      <c r="G14" s="23">
        <f>'Results_e,f'!J14</f>
        <v>7.8461398628633692</v>
      </c>
      <c r="I14" s="23">
        <f t="shared" ref="I14" si="72">MAX(-MIN(B14,0),-MIN(F14,0))</f>
        <v>92.821111081150789</v>
      </c>
      <c r="J14" s="23">
        <f t="shared" ref="J14" si="73">IF(-MIN(B14,0)&gt;=-MIN(F14,0),F14,B14)</f>
        <v>23.846146263511852</v>
      </c>
      <c r="K14" s="23">
        <f t="shared" ref="K14" si="74">MAX(-MIN(C14,0),-MIN(G14,0))</f>
        <v>30.540989580149905</v>
      </c>
      <c r="L14" s="23">
        <f t="shared" ref="L14" si="75">IF(-MIN(C14,0)&gt;=-MIN(G14,0),G14,C14)</f>
        <v>7.8461398628633692</v>
      </c>
      <c r="N14" s="23">
        <f t="shared" ref="N14" si="76">IF(J14&gt;0,-J14/I14,ABS(J14)/I14)</f>
        <v>-0.25690433981838312</v>
      </c>
      <c r="O14" s="23">
        <f t="shared" ref="O14" si="77">IF(L14&gt;0,-L14/K14,ABS(L14)/K14)</f>
        <v>-0.25690522706451407</v>
      </c>
      <c r="Q14" s="23">
        <f t="shared" si="27"/>
        <v>-8.4679371750067354</v>
      </c>
      <c r="R14" s="23">
        <f t="shared" ref="R14" si="78" xml:space="preserve"> ((G$35^2+$B$40^2)^2)/($B$40^2*(G$35^2+$N14*$B$40^2))</f>
        <v>11.125192434154602</v>
      </c>
      <c r="S14" s="23">
        <f t="shared" ref="S14" si="79" xml:space="preserve"> ((H$35^2+$B$40^2)^2)/($B$40^2*(H$35^2+$N14*$B$40^2))</f>
        <v>5.3828870417872938</v>
      </c>
      <c r="T14" s="23">
        <f t="shared" ref="T14" si="80" xml:space="preserve"> ((I$35^2+$B$40^2)^2)/($B$40^2*(I$35^2+$N14*$B$40^2))</f>
        <v>5.073432930138436</v>
      </c>
      <c r="U14" s="23">
        <f t="shared" ref="U14" si="81" xml:space="preserve"> ((J$35^2+$B$40^2)^2)/($B$40^2*(J$35^2+$N14*$B$40^2))</f>
        <v>5.661373047678361</v>
      </c>
      <c r="V14" s="23">
        <f t="shared" ref="V14" si="82" xml:space="preserve"> ((K$35^2+$B$40^2)^2)/($B$40^2*(K$35^2+$N14*$B$40^2))</f>
        <v>6.6789636893188531</v>
      </c>
      <c r="W14" s="24">
        <f t="shared" ref="W14" si="83">_xlfn.MINIFS(Q14:V14,Q14:V14,"&gt;0")</f>
        <v>5.073432930138436</v>
      </c>
      <c r="Y14" s="23">
        <f t="shared" ref="Y14" si="84" xml:space="preserve"> ((F$35^2+$B$40^2)^2)/($B$40^2*(F$35^2+$O14*$B$40^2))</f>
        <v>-8.4678856424435285</v>
      </c>
      <c r="Z14" s="23">
        <f t="shared" ref="Z14" si="85" xml:space="preserve"> ((G$35^2+$B$40^2)^2)/($B$40^2*(G$35^2+$O14*$B$40^2))</f>
        <v>11.125245067326912</v>
      </c>
      <c r="AA14" s="23">
        <f t="shared" ref="AA14" si="86" xml:space="preserve"> ((H$35^2+$B$40^2)^2)/($B$40^2*(H$35^2+$O14*$B$40^2))</f>
        <v>5.3828934688890246</v>
      </c>
      <c r="AB14" s="23">
        <f t="shared" ref="AB14" si="87" xml:space="preserve"> ((I$35^2+$B$40^2)^2)/($B$40^2*(I$35^2+$O14*$B$40^2))</f>
        <v>5.0734358898760794</v>
      </c>
      <c r="AC14" s="23">
        <f t="shared" ref="AC14" si="88" xml:space="preserve"> ((J$35^2+$B$40^2)^2)/($B$40^2*(J$35^2+$O14*$B$40^2))</f>
        <v>5.6613750402548328</v>
      </c>
      <c r="AD14" s="23">
        <f t="shared" ref="AD14" si="89" xml:space="preserve"> ((K$35^2+$B$40^2)^2)/($B$40^2*(K$35^2+$O14*$B$40^2))</f>
        <v>6.6789652724699753</v>
      </c>
      <c r="AE14" s="24">
        <f t="shared" ref="AE14" si="90">_xlfn.MINIFS(Y14:AD14,Y14:AD14,"&gt;0")</f>
        <v>5.0734358898760794</v>
      </c>
      <c r="AG14" s="23">
        <f t="shared" ref="AG14" si="91">W14*$B$41</f>
        <v>117.76969943902061</v>
      </c>
      <c r="AH14" s="23">
        <f t="shared" ref="AH14" si="92">AE14*$B$41</f>
        <v>117.76976814346935</v>
      </c>
      <c r="AJ14" s="23">
        <f t="shared" ref="AJ14" si="93">1.5*I14 / AG14</f>
        <v>1.1822367492227341</v>
      </c>
      <c r="AK14" s="23">
        <f t="shared" ref="AK14" si="94">1.5*K14 / AH14</f>
        <v>0.38899188724237316</v>
      </c>
      <c r="AM14" s="23">
        <f t="shared" ref="AM14:AN14" si="95">ABS((D14*1.5) / $B$43)</f>
        <v>0.43726393755594456</v>
      </c>
      <c r="AN14" s="23">
        <f t="shared" si="95"/>
        <v>1.7264791147564267</v>
      </c>
      <c r="AP14" s="24">
        <f t="shared" ref="AP14:AQ14" si="96">1/((AJ14)+(AM14)^2)</f>
        <v>0.72810064373164252</v>
      </c>
      <c r="AQ14" s="24">
        <f t="shared" si="96"/>
        <v>0.29676038373137631</v>
      </c>
    </row>
    <row r="15" spans="1:43">
      <c r="A15" s="23"/>
      <c r="B15" s="23"/>
      <c r="C15" s="23"/>
      <c r="D15" s="23"/>
      <c r="E15" s="23"/>
      <c r="F15" s="23"/>
      <c r="G15" s="23"/>
      <c r="I15" s="23"/>
      <c r="J15" s="23"/>
      <c r="K15" s="23"/>
      <c r="L15" s="23"/>
      <c r="N15" s="23"/>
      <c r="O15" s="23"/>
      <c r="Q15" s="23"/>
      <c r="R15" s="23"/>
      <c r="S15" s="23"/>
      <c r="T15" s="23"/>
      <c r="U15" s="23"/>
      <c r="V15" s="23"/>
      <c r="W15" s="24"/>
      <c r="Y15" s="23"/>
      <c r="Z15" s="23"/>
      <c r="AA15" s="23"/>
      <c r="AB15" s="23"/>
      <c r="AC15" s="23"/>
      <c r="AD15" s="23"/>
      <c r="AE15" s="24"/>
      <c r="AG15" s="23"/>
      <c r="AH15" s="23"/>
      <c r="AJ15" s="23"/>
      <c r="AK15" s="23"/>
      <c r="AM15" s="23"/>
      <c r="AN15" s="23"/>
      <c r="AP15" s="24"/>
      <c r="AQ15" s="24"/>
    </row>
    <row r="16" spans="1:43">
      <c r="A16" s="23"/>
      <c r="B16" s="23"/>
      <c r="C16" s="23"/>
      <c r="D16" s="23"/>
      <c r="E16" s="23"/>
      <c r="F16" s="23"/>
      <c r="G16" s="23"/>
      <c r="I16" s="23"/>
      <c r="J16" s="23"/>
      <c r="K16" s="23"/>
      <c r="L16" s="23"/>
      <c r="N16" s="23"/>
      <c r="O16" s="23"/>
      <c r="Q16" s="23"/>
      <c r="R16" s="23"/>
      <c r="S16" s="23"/>
      <c r="T16" s="23"/>
      <c r="U16" s="23"/>
      <c r="V16" s="23"/>
      <c r="W16" s="24"/>
      <c r="Y16" s="23"/>
      <c r="Z16" s="23"/>
      <c r="AA16" s="23"/>
      <c r="AB16" s="23"/>
      <c r="AC16" s="23"/>
      <c r="AD16" s="23"/>
      <c r="AE16" s="24"/>
      <c r="AG16" s="23"/>
      <c r="AH16" s="23"/>
      <c r="AJ16" s="23"/>
      <c r="AK16" s="23"/>
      <c r="AM16" s="23"/>
      <c r="AN16" s="23"/>
      <c r="AP16" s="24"/>
      <c r="AQ16" s="24"/>
    </row>
    <row r="17" spans="1:43">
      <c r="A17" s="23">
        <f>'Results_e,f'!C17</f>
        <v>6</v>
      </c>
      <c r="B17" s="23">
        <f>'Results_e,f'!E17</f>
        <v>-92.705718918306388</v>
      </c>
      <c r="C17" s="23">
        <f>'Results_e,f'!F17</f>
        <v>-30.503161720129956</v>
      </c>
      <c r="D17" s="23">
        <f>'Results_e,f'!G17</f>
        <v>39.142009467321579</v>
      </c>
      <c r="E17" s="23">
        <f>'Results_e,f'!H17</f>
        <v>154.54711478427072</v>
      </c>
      <c r="F17" s="23">
        <f>'Results_e,f'!I17</f>
        <v>23.846132839911412</v>
      </c>
      <c r="G17" s="23">
        <f>'Results_e,f'!J17</f>
        <v>7.8460788562613226</v>
      </c>
      <c r="I17" s="23">
        <f t="shared" ref="I17" si="97">MAX(-MIN(B17,0),-MIN(F17,0))</f>
        <v>92.705718918306388</v>
      </c>
      <c r="J17" s="23">
        <f t="shared" ref="J17" si="98">IF(-MIN(B17,0)&gt;=-MIN(F17,0),F17,B17)</f>
        <v>23.846132839911412</v>
      </c>
      <c r="K17" s="23">
        <f t="shared" ref="K17" si="99">MAX(-MIN(C17,0),-MIN(G17,0))</f>
        <v>30.503161720129956</v>
      </c>
      <c r="L17" s="23">
        <f t="shared" ref="L17" si="100">IF(-MIN(C17,0)&gt;=-MIN(G17,0),G17,C17)</f>
        <v>7.8460788562613226</v>
      </c>
      <c r="N17" s="23">
        <f t="shared" ref="N17" si="101">IF(J17&gt;0,-J17/I17,ABS(J17)/I17)</f>
        <v>-0.25722396760576299</v>
      </c>
      <c r="O17" s="23">
        <f t="shared" ref="O17" si="102">IF(L17&gt;0,-L17/K17,ABS(L17)/K17)</f>
        <v>-0.25722182271628119</v>
      </c>
      <c r="Q17" s="23">
        <f t="shared" si="27"/>
        <v>-8.4494132197036098</v>
      </c>
      <c r="R17" s="23">
        <f t="shared" ref="R17" si="103" xml:space="preserve"> ((G$35^2+$B$40^2)^2)/($B$40^2*(G$35^2+$N17*$B$40^2))</f>
        <v>11.144185659158337</v>
      </c>
      <c r="S17" s="23">
        <f t="shared" ref="S17" si="104" xml:space="preserve"> ((H$35^2+$B$40^2)^2)/($B$40^2*(H$35^2+$N17*$B$40^2))</f>
        <v>5.3852033796870726</v>
      </c>
      <c r="T17" s="23">
        <f t="shared" ref="T17" si="105" xml:space="preserve"> ((I$35^2+$B$40^2)^2)/($B$40^2*(I$35^2+$N17*$B$40^2))</f>
        <v>5.0744993903524929</v>
      </c>
      <c r="U17" s="23">
        <f t="shared" ref="U17" si="106" xml:space="preserve"> ((J$35^2+$B$40^2)^2)/($B$40^2*(J$35^2+$N17*$B$40^2))</f>
        <v>5.6620909582159022</v>
      </c>
      <c r="V17" s="23">
        <f t="shared" ref="V17" si="107" xml:space="preserve"> ((K$35^2+$B$40^2)^2)/($B$40^2*(K$35^2+$N17*$B$40^2))</f>
        <v>6.6795340633854634</v>
      </c>
      <c r="W17" s="24">
        <f t="shared" ref="W17" si="108">_xlfn.MINIFS(Q17:V17,Q17:V17,"&gt;0")</f>
        <v>5.0744993903524929</v>
      </c>
      <c r="Y17" s="23">
        <f t="shared" ref="Y17" si="109" xml:space="preserve"> ((F$35^2+$B$40^2)^2)/($B$40^2*(F$35^2+$O17*$B$40^2))</f>
        <v>-8.4495372561780275</v>
      </c>
      <c r="Z17" s="23">
        <f t="shared" ref="Z17" si="110" xml:space="preserve"> ((G$35^2+$B$40^2)^2)/($B$40^2*(G$35^2+$O17*$B$40^2))</f>
        <v>11.144057987371763</v>
      </c>
      <c r="AA17" s="23">
        <f t="shared" ref="AA17" si="111" xml:space="preserve"> ((H$35^2+$B$40^2)^2)/($B$40^2*(H$35^2+$O17*$B$40^2))</f>
        <v>5.3851878290604667</v>
      </c>
      <c r="AB17" s="23">
        <f t="shared" ref="AB17" si="112" xml:space="preserve"> ((I$35^2+$B$40^2)^2)/($B$40^2*(I$35^2+$O17*$B$40^2))</f>
        <v>5.0744922322861745</v>
      </c>
      <c r="AC17" s="23">
        <f t="shared" ref="AC17" si="113" xml:space="preserve"> ((J$35^2+$B$40^2)^2)/($B$40^2*(J$35^2+$O17*$B$40^2))</f>
        <v>5.6620861400093005</v>
      </c>
      <c r="AD17" s="23">
        <f t="shared" ref="AD17" si="114" xml:space="preserve"> ((K$35^2+$B$40^2)^2)/($B$40^2*(K$35^2+$O17*$B$40^2))</f>
        <v>6.6795302355170527</v>
      </c>
      <c r="AE17" s="24">
        <f t="shared" ref="AE17" si="115">_xlfn.MINIFS(Y17:AD17,Y17:AD17,"&gt;0")</f>
        <v>5.0744922322861745</v>
      </c>
      <c r="AG17" s="23">
        <f t="shared" ref="AG17" si="116">W17*$B$41</f>
        <v>117.79445520116484</v>
      </c>
      <c r="AH17" s="23">
        <f t="shared" ref="AH17" si="117">AE17*$B$41</f>
        <v>117.79428904082911</v>
      </c>
      <c r="AJ17" s="23">
        <f t="shared" ref="AJ17" si="118">1.5*I17 / AG17</f>
        <v>1.180518880451382</v>
      </c>
      <c r="AK17" s="23">
        <f t="shared" ref="AK17" si="119">1.5*K17 / AH17</f>
        <v>0.38842920953778765</v>
      </c>
      <c r="AM17" s="23">
        <f t="shared" ref="AM17:AN17" si="120">ABS((D17*1.5) / $B$43)</f>
        <v>0.43726133776514203</v>
      </c>
      <c r="AN17" s="23">
        <f t="shared" si="120"/>
        <v>1.7264693120758521</v>
      </c>
      <c r="AP17" s="24">
        <f t="shared" ref="AP17:AQ17" si="121">1/((AJ17)+(AM17)^2)</f>
        <v>0.72901368726872717</v>
      </c>
      <c r="AQ17" s="24">
        <f t="shared" si="121"/>
        <v>0.29681292711152363</v>
      </c>
    </row>
    <row r="18" spans="1:43">
      <c r="A18" s="23"/>
      <c r="B18" s="23"/>
      <c r="C18" s="23"/>
      <c r="D18" s="23"/>
      <c r="E18" s="23"/>
      <c r="F18" s="23"/>
      <c r="G18" s="23"/>
      <c r="I18" s="23"/>
      <c r="J18" s="23"/>
      <c r="K18" s="23"/>
      <c r="L18" s="23"/>
      <c r="N18" s="23"/>
      <c r="O18" s="23"/>
      <c r="Q18" s="23"/>
      <c r="R18" s="23"/>
      <c r="S18" s="23"/>
      <c r="T18" s="23"/>
      <c r="U18" s="23"/>
      <c r="V18" s="23"/>
      <c r="W18" s="24"/>
      <c r="Y18" s="23"/>
      <c r="Z18" s="23"/>
      <c r="AA18" s="23"/>
      <c r="AB18" s="23"/>
      <c r="AC18" s="23"/>
      <c r="AD18" s="23"/>
      <c r="AE18" s="24"/>
      <c r="AG18" s="23"/>
      <c r="AH18" s="23"/>
      <c r="AJ18" s="23"/>
      <c r="AK18" s="23"/>
      <c r="AM18" s="23"/>
      <c r="AN18" s="23"/>
      <c r="AP18" s="24"/>
      <c r="AQ18" s="24"/>
    </row>
    <row r="19" spans="1:43">
      <c r="A19" s="23"/>
      <c r="B19" s="23"/>
      <c r="C19" s="23"/>
      <c r="D19" s="23"/>
      <c r="E19" s="23"/>
      <c r="F19" s="23"/>
      <c r="G19" s="23"/>
      <c r="I19" s="23"/>
      <c r="J19" s="23"/>
      <c r="K19" s="23"/>
      <c r="L19" s="23"/>
      <c r="N19" s="23"/>
      <c r="O19" s="23"/>
      <c r="Q19" s="23"/>
      <c r="R19" s="23"/>
      <c r="S19" s="23"/>
      <c r="T19" s="23"/>
      <c r="U19" s="23"/>
      <c r="V19" s="23"/>
      <c r="W19" s="24"/>
      <c r="Y19" s="23"/>
      <c r="Z19" s="23"/>
      <c r="AA19" s="23"/>
      <c r="AB19" s="23"/>
      <c r="AC19" s="23"/>
      <c r="AD19" s="23"/>
      <c r="AE19" s="24"/>
      <c r="AG19" s="23"/>
      <c r="AH19" s="23"/>
      <c r="AJ19" s="23"/>
      <c r="AK19" s="23"/>
      <c r="AM19" s="23"/>
      <c r="AN19" s="23"/>
      <c r="AP19" s="24"/>
      <c r="AQ19" s="24"/>
    </row>
    <row r="20" spans="1:43">
      <c r="A20" s="23">
        <f>'Results_e,f'!C20</f>
        <v>7</v>
      </c>
      <c r="B20" s="23">
        <f>'Results_e,f'!E20</f>
        <v>-93.424368299081564</v>
      </c>
      <c r="C20" s="23">
        <f>'Results_e,f'!F20</f>
        <v>-30.739834806709119</v>
      </c>
      <c r="D20" s="23">
        <f>'Results_e,f'!G20</f>
        <v>39.144665401201102</v>
      </c>
      <c r="E20" s="23">
        <f>'Results_e,f'!H20</f>
        <v>154.55816907323165</v>
      </c>
      <c r="F20" s="23">
        <f>'Results_e,f'!I20</f>
        <v>23.846126383365522</v>
      </c>
      <c r="G20" s="23">
        <f>'Results_e,f'!J20</f>
        <v>7.84604327052398</v>
      </c>
      <c r="I20" s="23">
        <f t="shared" ref="I20" si="122">MAX(-MIN(B20,0),-MIN(F20,0))</f>
        <v>93.424368299081564</v>
      </c>
      <c r="J20" s="23">
        <f t="shared" ref="J20" si="123">IF(-MIN(B20,0)&gt;=-MIN(F20,0),F20,B20)</f>
        <v>23.846126383365522</v>
      </c>
      <c r="K20" s="23">
        <f t="shared" ref="K20" si="124">MAX(-MIN(C20,0),-MIN(G20,0))</f>
        <v>30.739834806709119</v>
      </c>
      <c r="L20" s="23">
        <f t="shared" ref="L20" si="125">IF(-MIN(C20,0)&gt;=-MIN(G20,0),G20,C20)</f>
        <v>7.84604327052398</v>
      </c>
      <c r="N20" s="23">
        <f t="shared" ref="N20" si="126">IF(J20&gt;0,-J20/I20,ABS(J20)/I20)</f>
        <v>-0.25524525150682714</v>
      </c>
      <c r="O20" s="23">
        <f t="shared" ref="O20" si="127">IF(L20&gt;0,-L20/K20,ABS(L20)/K20)</f>
        <v>-0.25524025486342378</v>
      </c>
      <c r="Q20" s="23">
        <f t="shared" ref="Q20" si="128" xml:space="preserve"> ((F$35^2+$B$40^2)^2)/($B$40^2*(F$35^2+$N20*$B$40^2))</f>
        <v>-8.5654092628234917</v>
      </c>
      <c r="R20" s="23">
        <f t="shared" ref="R20" si="129" xml:space="preserve"> ((G$35^2+$B$40^2)^2)/($B$40^2*(G$35^2+$N20*$B$40^2))</f>
        <v>11.027635587083893</v>
      </c>
      <c r="S20" s="23">
        <f t="shared" ref="S20" si="130" xml:space="preserve"> ((H$35^2+$B$40^2)^2)/($B$40^2*(H$35^2+$N20*$B$40^2))</f>
        <v>5.3708955976353447</v>
      </c>
      <c r="T20" s="23">
        <f t="shared" ref="T20" si="131" xml:space="preserve"> ((I$35^2+$B$40^2)^2)/($B$40^2*(I$35^2+$N20*$B$40^2))</f>
        <v>5.067904461531942</v>
      </c>
      <c r="U20" s="23">
        <f t="shared" ref="U20" si="132" xml:space="preserve"> ((J$35^2+$B$40^2)^2)/($B$40^2*(J$35^2+$N20*$B$40^2))</f>
        <v>5.6576495207256086</v>
      </c>
      <c r="V20" s="23">
        <f t="shared" ref="V20" si="133" xml:space="preserve"> ((K$35^2+$B$40^2)^2)/($B$40^2*(K$35^2+$N20*$B$40^2))</f>
        <v>6.6760046195440674</v>
      </c>
      <c r="W20" s="24">
        <f t="shared" ref="W20" si="134">_xlfn.MINIFS(Q20:V20,Q20:V20,"&gt;0")</f>
        <v>5.067904461531942</v>
      </c>
      <c r="Y20" s="23">
        <f t="shared" ref="Y20" si="135" xml:space="preserve"> ((F$35^2+$B$40^2)^2)/($B$40^2*(F$35^2+$O20*$B$40^2))</f>
        <v>-8.5657062069013943</v>
      </c>
      <c r="Z20" s="23">
        <f t="shared" ref="Z20" si="136" xml:space="preserve"> ((G$35^2+$B$40^2)^2)/($B$40^2*(G$35^2+$O20*$B$40^2))</f>
        <v>11.027344361172178</v>
      </c>
      <c r="AA20" s="23">
        <f t="shared" ref="AA20" si="137" xml:space="preserve"> ((H$35^2+$B$40^2)^2)/($B$40^2*(H$35^2+$O20*$B$40^2))</f>
        <v>5.3708595639342294</v>
      </c>
      <c r="AB20" s="23">
        <f t="shared" ref="AB20" si="138" xml:space="preserve"> ((I$35^2+$B$40^2)^2)/($B$40^2*(I$35^2+$O20*$B$40^2))</f>
        <v>5.0678878297504486</v>
      </c>
      <c r="AC20" s="23">
        <f t="shared" ref="AC20" si="139" xml:space="preserve"> ((J$35^2+$B$40^2)^2)/($B$40^2*(J$35^2+$O20*$B$40^2))</f>
        <v>5.6576383140510211</v>
      </c>
      <c r="AD20" s="23">
        <f t="shared" ref="AD20" si="140" xml:space="preserve"> ((K$35^2+$B$40^2)^2)/($B$40^2*(K$35^2+$O20*$B$40^2))</f>
        <v>6.6759957117324271</v>
      </c>
      <c r="AE20" s="24">
        <f t="shared" ref="AE20" si="141">_xlfn.MINIFS(Y20:AD20,Y20:AD20,"&gt;0")</f>
        <v>5.0678878297504486</v>
      </c>
      <c r="AG20" s="23">
        <f t="shared" ref="AG20" si="142">W20*$B$41</f>
        <v>117.64136698738277</v>
      </c>
      <c r="AH20" s="23">
        <f t="shared" ref="AH20" si="143">AE20*$B$41</f>
        <v>117.64098091350841</v>
      </c>
      <c r="AJ20" s="23">
        <f t="shared" ref="AJ20" si="144">1.5*I20 / AG20</f>
        <v>1.1912183276793462</v>
      </c>
      <c r="AK20" s="23">
        <f t="shared" ref="AK20" si="145">1.5*K20 / AH20</f>
        <v>0.39195314296099182</v>
      </c>
      <c r="AM20" s="23">
        <f t="shared" ref="AM20:AN20" si="146">ABS((D20*1.5) / $B$43)</f>
        <v>0.43729100760624062</v>
      </c>
      <c r="AN20" s="23">
        <f t="shared" si="146"/>
        <v>1.7265928012182052</v>
      </c>
      <c r="AP20" s="24">
        <f t="shared" ref="AP20:AQ20" si="147">1/((AJ20)+(AM20)^2)</f>
        <v>0.7233577818528647</v>
      </c>
      <c r="AQ20" s="24">
        <f t="shared" si="147"/>
        <v>0.2964653171749963</v>
      </c>
    </row>
    <row r="21" spans="1:43">
      <c r="A21" s="23"/>
      <c r="B21" s="23"/>
      <c r="C21" s="23"/>
      <c r="D21" s="23"/>
      <c r="E21" s="23"/>
      <c r="F21" s="23"/>
      <c r="G21" s="23"/>
      <c r="I21" s="23"/>
      <c r="J21" s="23"/>
      <c r="K21" s="23"/>
      <c r="L21" s="23"/>
      <c r="N21" s="23"/>
      <c r="O21" s="23"/>
      <c r="Q21" s="23"/>
      <c r="R21" s="23"/>
      <c r="S21" s="23"/>
      <c r="T21" s="23"/>
      <c r="U21" s="23"/>
      <c r="V21" s="23"/>
      <c r="W21" s="24"/>
      <c r="Y21" s="23"/>
      <c r="Z21" s="23"/>
      <c r="AA21" s="23"/>
      <c r="AB21" s="23"/>
      <c r="AC21" s="23"/>
      <c r="AD21" s="23"/>
      <c r="AE21" s="24"/>
      <c r="AG21" s="23"/>
      <c r="AH21" s="23"/>
      <c r="AJ21" s="23"/>
      <c r="AK21" s="23"/>
      <c r="AM21" s="23"/>
      <c r="AN21" s="23"/>
      <c r="AP21" s="24"/>
      <c r="AQ21" s="24"/>
    </row>
    <row r="22" spans="1:43">
      <c r="A22" s="23"/>
      <c r="B22" s="23"/>
      <c r="C22" s="23"/>
      <c r="D22" s="23"/>
      <c r="E22" s="23"/>
      <c r="F22" s="23"/>
      <c r="G22" s="23"/>
      <c r="I22" s="23"/>
      <c r="J22" s="23"/>
      <c r="K22" s="23"/>
      <c r="L22" s="23"/>
      <c r="N22" s="23"/>
      <c r="O22" s="23"/>
      <c r="Q22" s="23"/>
      <c r="R22" s="23"/>
      <c r="S22" s="23"/>
      <c r="T22" s="23"/>
      <c r="U22" s="23"/>
      <c r="V22" s="23"/>
      <c r="W22" s="24"/>
      <c r="Y22" s="23"/>
      <c r="Z22" s="23"/>
      <c r="AA22" s="23"/>
      <c r="AB22" s="23"/>
      <c r="AC22" s="23"/>
      <c r="AD22" s="23"/>
      <c r="AE22" s="24"/>
      <c r="AG22" s="23"/>
      <c r="AH22" s="23"/>
      <c r="AJ22" s="23"/>
      <c r="AK22" s="23"/>
      <c r="AM22" s="23"/>
      <c r="AN22" s="23"/>
      <c r="AP22" s="24"/>
      <c r="AQ22" s="24"/>
    </row>
    <row r="23" spans="1:43">
      <c r="A23" s="23">
        <f>'Results_e,f'!C23</f>
        <v>8</v>
      </c>
      <c r="B23" s="23">
        <f>'Results_e,f'!E23</f>
        <v>-97.764264124313669</v>
      </c>
      <c r="C23" s="23">
        <f>'Results_e,f'!F23</f>
        <v>-32.167782985717324</v>
      </c>
      <c r="D23" s="23">
        <f>'Results_e,f'!G23</f>
        <v>39.2655607783934</v>
      </c>
      <c r="E23" s="23">
        <f>'Results_e,f'!H23</f>
        <v>155.03567954368407</v>
      </c>
      <c r="F23" s="23">
        <f>'Results_e,f'!I23</f>
        <v>23.846122984307367</v>
      </c>
      <c r="G23" s="23">
        <f>'Results_e,f'!J23</f>
        <v>7.846074605933512</v>
      </c>
      <c r="I23" s="23">
        <f t="shared" ref="I23" si="148">MAX(-MIN(B23,0),-MIN(F23,0))</f>
        <v>97.764264124313669</v>
      </c>
      <c r="J23" s="23">
        <f t="shared" ref="J23" si="149">IF(-MIN(B23,0)&gt;=-MIN(F23,0),F23,B23)</f>
        <v>23.846122984307367</v>
      </c>
      <c r="K23" s="23">
        <f t="shared" ref="K23" si="150">MAX(-MIN(C23,0),-MIN(G23,0))</f>
        <v>32.167782985717324</v>
      </c>
      <c r="L23" s="23">
        <f t="shared" ref="L23" si="151">IF(-MIN(C23,0)&gt;=-MIN(G23,0),G23,C23)</f>
        <v>7.846074605933512</v>
      </c>
      <c r="N23" s="23">
        <f t="shared" ref="N23" si="152">IF(J23&gt;0,-J23/I23,ABS(J23)/I23)</f>
        <v>-0.24391451414174672</v>
      </c>
      <c r="O23" s="23">
        <f t="shared" ref="O23" si="153">IF(L23&gt;0,-L23/K23,ABS(L23)/K23)</f>
        <v>-0.24391095306186358</v>
      </c>
      <c r="Q23" s="23">
        <f t="shared" ref="Q23" si="154" xml:space="preserve"> ((F$35^2+$B$40^2)^2)/($B$40^2*(F$35^2+$N23*$B$40^2))</f>
        <v>-9.2962068219725733</v>
      </c>
      <c r="R23" s="23">
        <f t="shared" ref="R23" si="155" xml:space="preserve"> ((G$35^2+$B$40^2)^2)/($B$40^2*(G$35^2+$N23*$B$40^2))</f>
        <v>10.404530385748362</v>
      </c>
      <c r="S23" s="23">
        <f t="shared" ref="S23" si="156" xml:space="preserve"> ((H$35^2+$B$40^2)^2)/($B$40^2*(H$35^2+$N23*$B$40^2))</f>
        <v>5.290407070120505</v>
      </c>
      <c r="T23" s="23">
        <f t="shared" ref="T23" si="157" xml:space="preserve"> ((I$35^2+$B$40^2)^2)/($B$40^2*(I$35^2+$N23*$B$40^2))</f>
        <v>5.0304675557748952</v>
      </c>
      <c r="U23" s="23">
        <f t="shared" ref="U23" si="158" xml:space="preserve"> ((J$35^2+$B$40^2)^2)/($B$40^2*(J$35^2+$N23*$B$40^2))</f>
        <v>5.6323500731417546</v>
      </c>
      <c r="V23" s="23">
        <f t="shared" ref="V23" si="159" xml:space="preserve"> ((K$35^2+$B$40^2)^2)/($B$40^2*(K$35^2+$N23*$B$40^2))</f>
        <v>6.6558655531471693</v>
      </c>
      <c r="W23" s="24">
        <f t="shared" ref="W23" si="160">_xlfn.MINIFS(Q23:V23,Q23:V23,"&gt;0")</f>
        <v>5.0304675557748952</v>
      </c>
      <c r="Y23" s="23">
        <f t="shared" ref="Y23" si="161" xml:space="preserve"> ((F$35^2+$B$40^2)^2)/($B$40^2*(F$35^2+$O23*$B$40^2))</f>
        <v>-9.2964561034070776</v>
      </c>
      <c r="Z23" s="23">
        <f t="shared" ref="Z23" si="162" xml:space="preserve"> ((G$35^2+$B$40^2)^2)/($B$40^2*(G$35^2+$O23*$B$40^2))</f>
        <v>10.404345621779038</v>
      </c>
      <c r="AA23" s="23">
        <f t="shared" ref="AA23" si="163" xml:space="preserve"> ((H$35^2+$B$40^2)^2)/($B$40^2*(H$35^2+$O23*$B$40^2))</f>
        <v>5.2903821529996078</v>
      </c>
      <c r="AB23" s="23">
        <f t="shared" ref="AB23" si="164" xml:space="preserve"> ((I$35^2+$B$40^2)^2)/($B$40^2*(I$35^2+$O23*$B$40^2))</f>
        <v>5.0304558768621455</v>
      </c>
      <c r="AC23" s="23">
        <f t="shared" ref="AC23" si="165" xml:space="preserve"> ((J$35^2+$B$40^2)^2)/($B$40^2*(J$35^2+$O23*$B$40^2))</f>
        <v>5.6323421574737553</v>
      </c>
      <c r="AD23" s="23">
        <f t="shared" ref="AD23" si="166" xml:space="preserve"> ((K$35^2+$B$40^2)^2)/($B$40^2*(K$35^2+$O23*$B$40^2))</f>
        <v>6.6558592428417889</v>
      </c>
      <c r="AE23" s="24">
        <f t="shared" ref="AE23" si="167">_xlfn.MINIFS(Y23:AD23,Y23:AD23,"&gt;0")</f>
        <v>5.0304558768621455</v>
      </c>
      <c r="AG23" s="23">
        <f t="shared" ref="AG23" si="168">W23*$B$41</f>
        <v>116.77234335000632</v>
      </c>
      <c r="AH23" s="23">
        <f t="shared" ref="AH23" si="169">AE23*$B$41</f>
        <v>116.77207224717255</v>
      </c>
      <c r="AJ23" s="23">
        <f t="shared" ref="AJ23" si="170">1.5*I23 / AG23</f>
        <v>1.2558315777471512</v>
      </c>
      <c r="AK23" s="23">
        <f t="shared" ref="AK23" si="171">1.5*K23 / AH23</f>
        <v>0.41321245354318292</v>
      </c>
      <c r="AM23" s="23">
        <f t="shared" ref="AM23:AN23" si="172">ABS((D23*1.5) / $B$43)</f>
        <v>0.43864154824225116</v>
      </c>
      <c r="AN23" s="23">
        <f t="shared" si="172"/>
        <v>1.7319271432703476</v>
      </c>
      <c r="AP23" s="24">
        <f t="shared" ref="AP23:AQ23" si="173">1/((AJ23)+(AM23)^2)</f>
        <v>0.69049424883822907</v>
      </c>
      <c r="AQ23" s="24">
        <f t="shared" si="173"/>
        <v>0.29301590010933171</v>
      </c>
    </row>
    <row r="24" spans="1:43">
      <c r="A24" s="23"/>
      <c r="B24" s="23"/>
      <c r="C24" s="23"/>
      <c r="D24" s="23"/>
      <c r="E24" s="23"/>
      <c r="F24" s="23"/>
      <c r="G24" s="23"/>
      <c r="I24" s="23"/>
      <c r="J24" s="23"/>
      <c r="K24" s="23"/>
      <c r="L24" s="23"/>
      <c r="N24" s="23"/>
      <c r="O24" s="23"/>
      <c r="Q24" s="23"/>
      <c r="R24" s="23"/>
      <c r="S24" s="23"/>
      <c r="T24" s="23"/>
      <c r="U24" s="23"/>
      <c r="V24" s="23"/>
      <c r="W24" s="24"/>
      <c r="Y24" s="23"/>
      <c r="Z24" s="23"/>
      <c r="AA24" s="23"/>
      <c r="AB24" s="23"/>
      <c r="AC24" s="23"/>
      <c r="AD24" s="23"/>
      <c r="AE24" s="24"/>
      <c r="AG24" s="23"/>
      <c r="AH24" s="23"/>
      <c r="AJ24" s="23"/>
      <c r="AK24" s="23"/>
      <c r="AM24" s="23"/>
      <c r="AN24" s="23"/>
      <c r="AP24" s="24"/>
      <c r="AQ24" s="24"/>
    </row>
    <row r="25" spans="1:43">
      <c r="A25" s="23"/>
      <c r="B25" s="23"/>
      <c r="C25" s="23"/>
      <c r="D25" s="23"/>
      <c r="E25" s="23"/>
      <c r="F25" s="23"/>
      <c r="G25" s="23"/>
      <c r="I25" s="23"/>
      <c r="J25" s="23"/>
      <c r="K25" s="23"/>
      <c r="L25" s="23"/>
      <c r="N25" s="23"/>
      <c r="O25" s="23"/>
      <c r="Q25" s="23"/>
      <c r="R25" s="23"/>
      <c r="S25" s="23"/>
      <c r="T25" s="23"/>
      <c r="U25" s="23"/>
      <c r="V25" s="23"/>
      <c r="W25" s="24"/>
      <c r="Y25" s="23"/>
      <c r="Z25" s="23"/>
      <c r="AA25" s="23"/>
      <c r="AB25" s="23"/>
      <c r="AC25" s="23"/>
      <c r="AD25" s="23"/>
      <c r="AE25" s="24"/>
      <c r="AG25" s="23"/>
      <c r="AH25" s="23"/>
      <c r="AJ25" s="23"/>
      <c r="AK25" s="23"/>
      <c r="AM25" s="23"/>
      <c r="AN25" s="23"/>
      <c r="AP25" s="24"/>
      <c r="AQ25" s="24"/>
    </row>
    <row r="26" spans="1:43">
      <c r="A26" s="23">
        <f>'Results_e,f'!C26</f>
        <v>9</v>
      </c>
      <c r="B26" s="23">
        <f>'Results_e,f'!E26</f>
        <v>-99.814182963562089</v>
      </c>
      <c r="C26" s="23">
        <f>'Results_e,f'!F26</f>
        <v>-32.842064124437279</v>
      </c>
      <c r="D26" s="23">
        <f>'Results_e,f'!G26</f>
        <v>39.284209508678494</v>
      </c>
      <c r="E26" s="23">
        <f>'Results_e,f'!H26</f>
        <v>155.109244290373</v>
      </c>
      <c r="F26" s="23">
        <f>'Results_e,f'!I26</f>
        <v>23.846115288967287</v>
      </c>
      <c r="G26" s="23">
        <f>'Results_e,f'!J26</f>
        <v>7.8460258897336743</v>
      </c>
      <c r="I26" s="23">
        <f t="shared" ref="I26" si="174">MAX(-MIN(B26,0),-MIN(F26,0))</f>
        <v>99.814182963562089</v>
      </c>
      <c r="J26" s="23">
        <f t="shared" ref="J26" si="175">IF(-MIN(B26,0)&gt;=-MIN(F26,0),F26,B26)</f>
        <v>23.846115288967287</v>
      </c>
      <c r="K26" s="23">
        <f t="shared" ref="K26" si="176">MAX(-MIN(C26,0),-MIN(G26,0))</f>
        <v>32.842064124437279</v>
      </c>
      <c r="L26" s="23">
        <f t="shared" ref="L26" si="177">IF(-MIN(C26,0)&gt;=-MIN(G26,0),G26,C26)</f>
        <v>7.8460258897336743</v>
      </c>
      <c r="N26" s="23">
        <f t="shared" ref="N26" si="178">IF(J26&gt;0,-J26/I26,ABS(J26)/I26)</f>
        <v>-0.23890507922779358</v>
      </c>
      <c r="O26" s="23">
        <f t="shared" ref="O26" si="179">IF(L26&gt;0,-L26/K26,ABS(L26)/K26)</f>
        <v>-0.23890172858823347</v>
      </c>
      <c r="Q26" s="23">
        <f t="shared" ref="Q26" si="180" xml:space="preserve"> ((F$35^2+$B$40^2)^2)/($B$40^2*(F$35^2+$N26*$B$40^2))</f>
        <v>-9.6606116816667278</v>
      </c>
      <c r="R26" s="23">
        <f t="shared" ref="R26" si="181" xml:space="preserve"> ((G$35^2+$B$40^2)^2)/($B$40^2*(G$35^2+$N26*$B$40^2))</f>
        <v>10.150949677630891</v>
      </c>
      <c r="S26" s="23">
        <f t="shared" ref="S26" si="182" xml:space="preserve"> ((H$35^2+$B$40^2)^2)/($B$40^2*(H$35^2+$N26*$B$40^2))</f>
        <v>5.2555862492704621</v>
      </c>
      <c r="T26" s="23">
        <f t="shared" ref="T26" si="183" xml:space="preserve"> ((I$35^2+$B$40^2)^2)/($B$40^2*(I$35^2+$N26*$B$40^2))</f>
        <v>5.0140920623171503</v>
      </c>
      <c r="U26" s="23">
        <f t="shared" ref="U26" si="184" xml:space="preserve"> ((J$35^2+$B$40^2)^2)/($B$40^2*(J$35^2+$N26*$B$40^2))</f>
        <v>5.6212369160621911</v>
      </c>
      <c r="V26" s="23">
        <f t="shared" ref="V26" si="185" xml:space="preserve"> ((K$35^2+$B$40^2)^2)/($B$40^2*(K$35^2+$N26*$B$40^2))</f>
        <v>6.6470005481454706</v>
      </c>
      <c r="W26" s="24">
        <f t="shared" ref="W26" si="186">_xlfn.MINIFS(Q26:V26,Q26:V26,"&gt;0")</f>
        <v>5.0140920623171503</v>
      </c>
      <c r="Y26" s="23">
        <f t="shared" ref="Y26" si="187" xml:space="preserve"> ((F$35^2+$B$40^2)^2)/($B$40^2*(F$35^2+$O26*$B$40^2))</f>
        <v>-9.6608649806045896</v>
      </c>
      <c r="Z26" s="23">
        <f t="shared" ref="Z26" si="188" xml:space="preserve"> ((G$35^2+$B$40^2)^2)/($B$40^2*(G$35^2+$O26*$B$40^2))</f>
        <v>10.150784202666618</v>
      </c>
      <c r="AA26" s="23">
        <f t="shared" ref="AA26" si="189" xml:space="preserve"> ((H$35^2+$B$40^2)^2)/($B$40^2*(H$35^2+$O26*$B$40^2))</f>
        <v>5.2555631122120037</v>
      </c>
      <c r="AB26" s="23">
        <f t="shared" ref="AB26" si="190" xml:space="preserve"> ((I$35^2+$B$40^2)^2)/($B$40^2*(I$35^2+$O26*$B$40^2))</f>
        <v>5.014081144988733</v>
      </c>
      <c r="AC26" s="23">
        <f t="shared" ref="AC26" si="191" xml:space="preserve"> ((J$35^2+$B$40^2)^2)/($B$40^2*(J$35^2+$O26*$B$40^2))</f>
        <v>5.6212294975279953</v>
      </c>
      <c r="AD26" s="23">
        <f t="shared" ref="AD26" si="192" xml:space="preserve"> ((K$35^2+$B$40^2)^2)/($B$40^2*(K$35^2+$O26*$B$40^2))</f>
        <v>6.6469946265498656</v>
      </c>
      <c r="AE26" s="24">
        <f t="shared" ref="AE26" si="193">_xlfn.MINIFS(Y26:AD26,Y26:AD26,"&gt;0")</f>
        <v>5.014081144988733</v>
      </c>
      <c r="AG26" s="23">
        <f t="shared" ref="AG26" si="194">W26*$B$41</f>
        <v>116.39221869491767</v>
      </c>
      <c r="AH26" s="23">
        <f t="shared" ref="AH26" si="195">AE26*$B$41</f>
        <v>116.39196527075615</v>
      </c>
      <c r="AJ26" s="23">
        <f t="shared" ref="AJ26" si="196">1.5*I26 / AG26</f>
        <v>1.2863512365700853</v>
      </c>
      <c r="AK26" s="23">
        <f t="shared" ref="AK26" si="197">1.5*K26 / AH26</f>
        <v>0.42325169157559905</v>
      </c>
      <c r="AM26" s="23">
        <f t="shared" ref="AM26:AN26" si="198">ABS((D26*1.5) / $B$43)</f>
        <v>0.43884987604307318</v>
      </c>
      <c r="AN26" s="23">
        <f t="shared" si="198"/>
        <v>1.7327489462382408</v>
      </c>
      <c r="AP26" s="24">
        <f t="shared" ref="AP26:AQ26" si="199">1/((AJ26)+(AM26)^2)</f>
        <v>0.6761597465370135</v>
      </c>
      <c r="AQ26" s="24">
        <f t="shared" si="199"/>
        <v>0.29191364731294317</v>
      </c>
    </row>
    <row r="27" spans="1:43">
      <c r="A27" s="23"/>
      <c r="B27" s="23"/>
      <c r="C27" s="23"/>
      <c r="D27" s="23"/>
      <c r="E27" s="23"/>
      <c r="F27" s="23"/>
      <c r="G27" s="23"/>
      <c r="I27" s="23"/>
      <c r="J27" s="23"/>
      <c r="K27" s="23"/>
      <c r="L27" s="23"/>
      <c r="N27" s="23"/>
      <c r="O27" s="23"/>
      <c r="Q27" s="23"/>
      <c r="R27" s="23"/>
      <c r="S27" s="23"/>
      <c r="T27" s="23"/>
      <c r="U27" s="23"/>
      <c r="V27" s="23"/>
      <c r="W27" s="24"/>
      <c r="Y27" s="23"/>
      <c r="Z27" s="23"/>
      <c r="AA27" s="23"/>
      <c r="AB27" s="23"/>
      <c r="AC27" s="23"/>
      <c r="AD27" s="23"/>
      <c r="AE27" s="24"/>
      <c r="AG27" s="23"/>
      <c r="AH27" s="23"/>
      <c r="AJ27" s="23"/>
      <c r="AK27" s="23"/>
      <c r="AM27" s="23"/>
      <c r="AN27" s="23"/>
      <c r="AP27" s="24"/>
      <c r="AQ27" s="24"/>
    </row>
    <row r="28" spans="1:43">
      <c r="A28" s="23"/>
      <c r="B28" s="23"/>
      <c r="C28" s="23"/>
      <c r="D28" s="23"/>
      <c r="E28" s="23"/>
      <c r="F28" s="23"/>
      <c r="G28" s="23"/>
      <c r="I28" s="23"/>
      <c r="J28" s="23"/>
      <c r="K28" s="23"/>
      <c r="L28" s="23"/>
      <c r="N28" s="23"/>
      <c r="O28" s="23"/>
      <c r="Q28" s="23"/>
      <c r="R28" s="23"/>
      <c r="S28" s="23"/>
      <c r="T28" s="23"/>
      <c r="U28" s="23"/>
      <c r="V28" s="23"/>
      <c r="W28" s="24"/>
      <c r="Y28" s="23"/>
      <c r="Z28" s="23"/>
      <c r="AA28" s="23"/>
      <c r="AB28" s="23"/>
      <c r="AC28" s="23"/>
      <c r="AD28" s="23"/>
      <c r="AE28" s="24"/>
      <c r="AG28" s="23"/>
      <c r="AH28" s="23"/>
      <c r="AJ28" s="23"/>
      <c r="AK28" s="23"/>
      <c r="AM28" s="23"/>
      <c r="AN28" s="23"/>
      <c r="AP28" s="24"/>
      <c r="AQ28" s="24"/>
    </row>
    <row r="29" spans="1:43">
      <c r="A29" s="23">
        <f>'Results_e,f'!C29</f>
        <v>10</v>
      </c>
      <c r="B29" s="23">
        <f>'Results_e,f'!E29</f>
        <v>-74.593693830984463</v>
      </c>
      <c r="C29" s="23">
        <f>'Results_e,f'!F29</f>
        <v>-24.543661857522295</v>
      </c>
      <c r="D29" s="23">
        <f>'Results_e,f'!G29</f>
        <v>39.523201047199258</v>
      </c>
      <c r="E29" s="23">
        <f>'Results_e,f'!H29</f>
        <v>156.05293772728351</v>
      </c>
      <c r="F29" s="23">
        <f>'Results_e,f'!I29</f>
        <v>23.846151722228072</v>
      </c>
      <c r="G29" s="23">
        <f>'Results_e,f'!J29</f>
        <v>7.8461967836059543</v>
      </c>
      <c r="I29" s="23">
        <f t="shared" ref="I29" si="200">MAX(-MIN(B29,0),-MIN(F29,0))</f>
        <v>74.593693830984463</v>
      </c>
      <c r="J29" s="23">
        <f t="shared" ref="J29" si="201">IF(-MIN(B29,0)&gt;=-MIN(F29,0),F29,B29)</f>
        <v>23.846151722228072</v>
      </c>
      <c r="K29" s="23">
        <f t="shared" ref="K29" si="202">MAX(-MIN(C29,0),-MIN(G29,0))</f>
        <v>24.543661857522295</v>
      </c>
      <c r="L29" s="23">
        <f t="shared" ref="L29" si="203">IF(-MIN(C29,0)&gt;=-MIN(G29,0),G29,C29)</f>
        <v>7.8461967836059543</v>
      </c>
      <c r="N29" s="23">
        <f t="shared" ref="N29" si="204">IF(J29&gt;0,-J29/I29,ABS(J29)/I29)</f>
        <v>-0.31968053192618467</v>
      </c>
      <c r="O29" s="23">
        <f t="shared" ref="O29" si="205">IF(L29&gt;0,-L29/K29,ABS(L29)/K29)</f>
        <v>-0.31968321716432069</v>
      </c>
      <c r="Q29" s="23">
        <f t="shared" ref="Q29" si="206" xml:space="preserve"> ((F$35^2+$B$40^2)^2)/($B$40^2*(F$35^2+$N29*$B$40^2))</f>
        <v>-5.919218150052723</v>
      </c>
      <c r="R29" s="23">
        <f t="shared" ref="R29" si="207" xml:space="preserve"> ((G$35^2+$B$40^2)^2)/($B$40^2*(G$35^2+$N29*$B$40^2))</f>
        <v>16.722942644020264</v>
      </c>
      <c r="S29" s="23">
        <f t="shared" ref="S29" si="208" xml:space="preserve"> ((H$35^2+$B$40^2)^2)/($B$40^2*(H$35^2+$N29*$B$40^2))</f>
        <v>5.8795906742536372</v>
      </c>
      <c r="T29" s="23">
        <f t="shared" ref="T29" si="209" xml:space="preserve"> ((I$35^2+$B$40^2)^2)/($B$40^2*(I$35^2+$N29*$B$40^2))</f>
        <v>5.291861982915643</v>
      </c>
      <c r="U29" s="23">
        <f t="shared" ref="U29" si="210" xml:space="preserve"> ((J$35^2+$B$40^2)^2)/($B$40^2*(J$35^2+$N29*$B$40^2))</f>
        <v>5.8059561973624421</v>
      </c>
      <c r="V29" s="23">
        <f t="shared" ref="V29" si="211" xml:space="preserve"> ((K$35^2+$B$40^2)^2)/($B$40^2*(K$35^2+$N29*$B$40^2))</f>
        <v>6.7928885567872612</v>
      </c>
      <c r="W29" s="24">
        <f t="shared" ref="W29" si="212">_xlfn.MINIFS(Q29:V29,Q29:V29,"&gt;0")</f>
        <v>5.291861982915643</v>
      </c>
      <c r="Y29" s="23">
        <f t="shared" ref="Y29" si="213" xml:space="preserve"> ((F$35^2+$B$40^2)^2)/($B$40^2*(F$35^2+$O29*$B$40^2))</f>
        <v>-5.9191419437439672</v>
      </c>
      <c r="Z29" s="23">
        <f t="shared" ref="Z29" si="214" xml:space="preserve"> ((G$35^2+$B$40^2)^2)/($B$40^2*(G$35^2+$O29*$B$40^2))</f>
        <v>16.723302572215211</v>
      </c>
      <c r="AA29" s="23">
        <f t="shared" ref="AA29" si="215" xml:space="preserve"> ((H$35^2+$B$40^2)^2)/($B$40^2*(H$35^2+$O29*$B$40^2))</f>
        <v>5.8796138812382379</v>
      </c>
      <c r="AB29" s="23">
        <f t="shared" ref="AB29" si="216" xml:space="preserve"> ((I$35^2+$B$40^2)^2)/($B$40^2*(I$35^2+$O29*$B$40^2))</f>
        <v>5.2918717284492942</v>
      </c>
      <c r="AC29" s="23">
        <f t="shared" ref="AC29" si="217" xml:space="preserve"> ((J$35^2+$B$40^2)^2)/($B$40^2*(J$35^2+$O29*$B$40^2))</f>
        <v>5.805962539825928</v>
      </c>
      <c r="AD29" s="23">
        <f t="shared" ref="AD29" si="218" xml:space="preserve"> ((K$35^2+$B$40^2)^2)/($B$40^2*(K$35^2+$O29*$B$40^2))</f>
        <v>6.7928935130245858</v>
      </c>
      <c r="AE29" s="24">
        <f t="shared" ref="AE29" si="219">_xlfn.MINIFS(Y29:AD29,Y29:AD29,"&gt;0")</f>
        <v>5.2918717284492942</v>
      </c>
      <c r="AG29" s="23">
        <f t="shared" ref="AG29" si="220">W29*$B$41</f>
        <v>122.84009738229641</v>
      </c>
      <c r="AH29" s="23">
        <f t="shared" ref="AH29" si="221">AE29*$B$41</f>
        <v>122.84032360556274</v>
      </c>
      <c r="AJ29" s="23">
        <f t="shared" ref="AJ29" si="222">1.5*I29 / AG29</f>
        <v>0.91086333478112536</v>
      </c>
      <c r="AK29" s="23">
        <f t="shared" ref="AK29" si="223">1.5*K29 / AH29</f>
        <v>0.2997020172667168</v>
      </c>
      <c r="AM29" s="23">
        <f t="shared" ref="AM29:AN29" si="224">ABS((D29*1.5) / $B$43)</f>
        <v>0.44151968684916848</v>
      </c>
      <c r="AN29" s="23">
        <f t="shared" si="224"/>
        <v>1.7432910890735027</v>
      </c>
      <c r="AP29" s="24">
        <f t="shared" ref="AP29:AQ29" si="225">1/((AJ29)+(AM29)^2)</f>
        <v>0.90432023456668986</v>
      </c>
      <c r="AQ29" s="24">
        <f t="shared" si="225"/>
        <v>0.29951187006463853</v>
      </c>
    </row>
    <row r="30" spans="1:43">
      <c r="A30" s="23"/>
      <c r="B30" s="23"/>
      <c r="C30" s="23"/>
      <c r="D30" s="23"/>
      <c r="E30" s="23"/>
      <c r="F30" s="23"/>
      <c r="G30" s="23"/>
      <c r="I30" s="23"/>
      <c r="J30" s="23"/>
      <c r="K30" s="23"/>
      <c r="L30" s="23"/>
      <c r="N30" s="23"/>
      <c r="O30" s="23"/>
      <c r="Q30" s="23"/>
      <c r="R30" s="23"/>
      <c r="S30" s="23"/>
      <c r="T30" s="23"/>
      <c r="U30" s="23"/>
      <c r="V30" s="23"/>
      <c r="W30" s="24"/>
      <c r="Y30" s="23"/>
      <c r="Z30" s="23"/>
      <c r="AA30" s="23"/>
      <c r="AB30" s="23"/>
      <c r="AC30" s="23"/>
      <c r="AD30" s="23"/>
      <c r="AE30" s="24"/>
      <c r="AG30" s="23"/>
      <c r="AH30" s="23"/>
      <c r="AJ30" s="23"/>
      <c r="AK30" s="23"/>
      <c r="AM30" s="23"/>
      <c r="AN30" s="23"/>
      <c r="AP30" s="24"/>
      <c r="AQ30" s="24"/>
    </row>
    <row r="31" spans="1:43">
      <c r="A31" s="23"/>
      <c r="B31" s="23"/>
      <c r="C31" s="23"/>
      <c r="D31" s="23"/>
      <c r="E31" s="23"/>
      <c r="F31" s="23"/>
      <c r="G31" s="23"/>
      <c r="I31" s="23"/>
      <c r="J31" s="23"/>
      <c r="K31" s="23"/>
      <c r="L31" s="23"/>
      <c r="N31" s="23"/>
      <c r="O31" s="23"/>
      <c r="Q31" s="23"/>
      <c r="R31" s="23"/>
      <c r="S31" s="23"/>
      <c r="T31" s="23"/>
      <c r="U31" s="23"/>
      <c r="V31" s="23"/>
      <c r="W31" s="24"/>
      <c r="Y31" s="23"/>
      <c r="Z31" s="23"/>
      <c r="AA31" s="23"/>
      <c r="AB31" s="23"/>
      <c r="AC31" s="23"/>
      <c r="AD31" s="23"/>
      <c r="AE31" s="24"/>
      <c r="AG31" s="23"/>
      <c r="AH31" s="23"/>
      <c r="AJ31" s="23"/>
      <c r="AK31" s="23"/>
      <c r="AM31" s="23"/>
      <c r="AN31" s="23"/>
      <c r="AP31" s="24"/>
      <c r="AQ31" s="24"/>
    </row>
    <row r="35" spans="1:11">
      <c r="A35" t="s">
        <v>32</v>
      </c>
      <c r="B35">
        <v>65643.64</v>
      </c>
      <c r="D35" t="s">
        <v>39</v>
      </c>
      <c r="E35" t="s">
        <v>40</v>
      </c>
      <c r="F35">
        <v>1</v>
      </c>
      <c r="G35">
        <v>2</v>
      </c>
      <c r="H35">
        <v>3</v>
      </c>
      <c r="I35">
        <v>4</v>
      </c>
      <c r="J35">
        <v>5</v>
      </c>
      <c r="K35">
        <v>6</v>
      </c>
    </row>
    <row r="36" spans="1:11">
      <c r="A36" t="s">
        <v>33</v>
      </c>
      <c r="B36">
        <v>0.34</v>
      </c>
    </row>
    <row r="37" spans="1:11">
      <c r="A37" t="s">
        <v>34</v>
      </c>
      <c r="B37">
        <v>600</v>
      </c>
    </row>
    <row r="38" spans="1:11">
      <c r="A38" t="s">
        <v>35</v>
      </c>
      <c r="B38">
        <v>200</v>
      </c>
    </row>
    <row r="39" spans="1:11">
      <c r="A39" t="s">
        <v>36</v>
      </c>
      <c r="B39">
        <v>3.9</v>
      </c>
    </row>
    <row r="40" spans="1:11">
      <c r="A40" t="s">
        <v>37</v>
      </c>
      <c r="B40">
        <f>B37/B38</f>
        <v>3</v>
      </c>
    </row>
    <row r="41" spans="1:11">
      <c r="A41" t="s">
        <v>38</v>
      </c>
      <c r="B41">
        <f>($B$35*PI()^2)/(12*(1-$B$36^2))*($B$39/$B$38)^2</f>
        <v>23.213019874455519</v>
      </c>
    </row>
    <row r="42" spans="1:11">
      <c r="A42" t="s">
        <v>52</v>
      </c>
      <c r="B42">
        <f>5.34 + 4/B40^2</f>
        <v>5.7844444444444445</v>
      </c>
    </row>
    <row r="43" spans="1:11">
      <c r="A43" t="s">
        <v>53</v>
      </c>
      <c r="B43">
        <f>B41*B42</f>
        <v>134.27442385157269</v>
      </c>
    </row>
  </sheetData>
  <mergeCells count="352">
    <mergeCell ref="AQ29:AQ31"/>
    <mergeCell ref="AQ2:AQ4"/>
    <mergeCell ref="AQ5:AQ7"/>
    <mergeCell ref="AQ8:AQ10"/>
    <mergeCell ref="AQ11:AQ13"/>
    <mergeCell ref="AQ14:AQ16"/>
    <mergeCell ref="AQ17:AQ19"/>
    <mergeCell ref="AQ20:AQ22"/>
    <mergeCell ref="AQ23:AQ25"/>
    <mergeCell ref="AQ26:AQ28"/>
    <mergeCell ref="AN29:AN31"/>
    <mergeCell ref="AP2:AP4"/>
    <mergeCell ref="AP5:AP7"/>
    <mergeCell ref="AP8:AP10"/>
    <mergeCell ref="AP11:AP13"/>
    <mergeCell ref="AP14:AP16"/>
    <mergeCell ref="AP17:AP19"/>
    <mergeCell ref="AP20:AP22"/>
    <mergeCell ref="AP23:AP25"/>
    <mergeCell ref="AP26:AP28"/>
    <mergeCell ref="AP29:AP31"/>
    <mergeCell ref="AN2:AN4"/>
    <mergeCell ref="AN5:AN7"/>
    <mergeCell ref="AN8:AN10"/>
    <mergeCell ref="AN11:AN13"/>
    <mergeCell ref="AN14:AN16"/>
    <mergeCell ref="AN17:AN19"/>
    <mergeCell ref="AN20:AN22"/>
    <mergeCell ref="AN23:AN25"/>
    <mergeCell ref="AN26:AN28"/>
    <mergeCell ref="AK29:AK31"/>
    <mergeCell ref="AM2:AM4"/>
    <mergeCell ref="AM5:AM7"/>
    <mergeCell ref="AM8:AM10"/>
    <mergeCell ref="AM11:AM13"/>
    <mergeCell ref="AM14:AM16"/>
    <mergeCell ref="AM17:AM19"/>
    <mergeCell ref="AM20:AM22"/>
    <mergeCell ref="AM23:AM25"/>
    <mergeCell ref="AM26:AM28"/>
    <mergeCell ref="AM29:AM31"/>
    <mergeCell ref="AK2:AK4"/>
    <mergeCell ref="AK5:AK7"/>
    <mergeCell ref="AK8:AK10"/>
    <mergeCell ref="AK11:AK13"/>
    <mergeCell ref="AK14:AK16"/>
    <mergeCell ref="AK17:AK19"/>
    <mergeCell ref="AK20:AK22"/>
    <mergeCell ref="AK23:AK25"/>
    <mergeCell ref="AK26:AK28"/>
    <mergeCell ref="AH23:AH25"/>
    <mergeCell ref="AH26:AH28"/>
    <mergeCell ref="AH29:AH31"/>
    <mergeCell ref="AJ2:AJ4"/>
    <mergeCell ref="AJ5:AJ7"/>
    <mergeCell ref="AJ8:AJ10"/>
    <mergeCell ref="AJ11:AJ13"/>
    <mergeCell ref="AJ14:AJ16"/>
    <mergeCell ref="AJ17:AJ19"/>
    <mergeCell ref="AJ20:AJ22"/>
    <mergeCell ref="AJ23:AJ25"/>
    <mergeCell ref="AJ26:AJ28"/>
    <mergeCell ref="AJ29:AJ31"/>
    <mergeCell ref="Y1:AD1"/>
    <mergeCell ref="Q1:V1"/>
    <mergeCell ref="AH2:AH4"/>
    <mergeCell ref="AH5:AH7"/>
    <mergeCell ref="AH8:AH10"/>
    <mergeCell ref="AH11:AH13"/>
    <mergeCell ref="AH14:AH16"/>
    <mergeCell ref="AH17:AH19"/>
    <mergeCell ref="AH20:AH22"/>
    <mergeCell ref="Y20:Y22"/>
    <mergeCell ref="Z20:Z22"/>
    <mergeCell ref="AA20:AA22"/>
    <mergeCell ref="AB20:AB22"/>
    <mergeCell ref="AC20:AC22"/>
    <mergeCell ref="AD20:AD22"/>
    <mergeCell ref="W2:W4"/>
    <mergeCell ref="W5:W7"/>
    <mergeCell ref="W8:W10"/>
    <mergeCell ref="W11:W13"/>
    <mergeCell ref="W14:W16"/>
    <mergeCell ref="W17:W19"/>
    <mergeCell ref="W20:W22"/>
    <mergeCell ref="Q14:Q16"/>
    <mergeCell ref="Q17:Q19"/>
    <mergeCell ref="AE26:AE28"/>
    <mergeCell ref="AE29:AE31"/>
    <mergeCell ref="AG2:AG4"/>
    <mergeCell ref="AG5:AG7"/>
    <mergeCell ref="AG8:AG10"/>
    <mergeCell ref="AG11:AG13"/>
    <mergeCell ref="AG14:AG16"/>
    <mergeCell ref="AG17:AG19"/>
    <mergeCell ref="AG20:AG22"/>
    <mergeCell ref="AG23:AG25"/>
    <mergeCell ref="AG26:AG28"/>
    <mergeCell ref="AG29:AG31"/>
    <mergeCell ref="AE2:AE4"/>
    <mergeCell ref="AE5:AE7"/>
    <mergeCell ref="AE8:AE10"/>
    <mergeCell ref="AE11:AE13"/>
    <mergeCell ref="AE14:AE16"/>
    <mergeCell ref="AE17:AE19"/>
    <mergeCell ref="AE20:AE22"/>
    <mergeCell ref="AE23:AE25"/>
    <mergeCell ref="Y26:Y28"/>
    <mergeCell ref="Z26:Z28"/>
    <mergeCell ref="AA26:AA28"/>
    <mergeCell ref="AB26:AB28"/>
    <mergeCell ref="AC26:AC28"/>
    <mergeCell ref="AD26:AD28"/>
    <mergeCell ref="Y29:Y31"/>
    <mergeCell ref="Z29:Z31"/>
    <mergeCell ref="AA29:AA31"/>
    <mergeCell ref="AB29:AB31"/>
    <mergeCell ref="AC29:AC31"/>
    <mergeCell ref="AD29:AD31"/>
    <mergeCell ref="Y23:Y25"/>
    <mergeCell ref="Z23:Z25"/>
    <mergeCell ref="AA23:AA25"/>
    <mergeCell ref="AB23:AB25"/>
    <mergeCell ref="AC23:AC25"/>
    <mergeCell ref="AD23:AD25"/>
    <mergeCell ref="AD11:AD13"/>
    <mergeCell ref="Y14:Y16"/>
    <mergeCell ref="Z14:Z16"/>
    <mergeCell ref="AA14:AA16"/>
    <mergeCell ref="AB14:AB16"/>
    <mergeCell ref="AC14:AC16"/>
    <mergeCell ref="AD14:AD16"/>
    <mergeCell ref="Y17:Y19"/>
    <mergeCell ref="Z17:Z19"/>
    <mergeCell ref="AA17:AA19"/>
    <mergeCell ref="AB17:AB19"/>
    <mergeCell ref="AC17:AC19"/>
    <mergeCell ref="AD17:AD19"/>
    <mergeCell ref="W29:W31"/>
    <mergeCell ref="Y2:Y4"/>
    <mergeCell ref="Z2:Z4"/>
    <mergeCell ref="AA2:AA4"/>
    <mergeCell ref="AB2:AB4"/>
    <mergeCell ref="AC2:AC4"/>
    <mergeCell ref="AD2:AD4"/>
    <mergeCell ref="Y5:Y7"/>
    <mergeCell ref="Z5:Z7"/>
    <mergeCell ref="AA5:AA7"/>
    <mergeCell ref="AB5:AB7"/>
    <mergeCell ref="AC5:AC7"/>
    <mergeCell ref="AD5:AD7"/>
    <mergeCell ref="Y8:Y10"/>
    <mergeCell ref="Z8:Z10"/>
    <mergeCell ref="AA8:AA10"/>
    <mergeCell ref="AB8:AB10"/>
    <mergeCell ref="AC8:AC10"/>
    <mergeCell ref="AD8:AD10"/>
    <mergeCell ref="Y11:Y13"/>
    <mergeCell ref="Z11:Z13"/>
    <mergeCell ref="AA11:AA13"/>
    <mergeCell ref="AB11:AB13"/>
    <mergeCell ref="AC11:AC13"/>
    <mergeCell ref="W23:W25"/>
    <mergeCell ref="W26:W28"/>
    <mergeCell ref="U23:U25"/>
    <mergeCell ref="V23:V25"/>
    <mergeCell ref="R26:R28"/>
    <mergeCell ref="S26:S28"/>
    <mergeCell ref="T26:T28"/>
    <mergeCell ref="U26:U28"/>
    <mergeCell ref="V26:V28"/>
    <mergeCell ref="U29:U31"/>
    <mergeCell ref="V29:V31"/>
    <mergeCell ref="U14:U16"/>
    <mergeCell ref="V14:V16"/>
    <mergeCell ref="R17:R19"/>
    <mergeCell ref="S17:S19"/>
    <mergeCell ref="T17:T19"/>
    <mergeCell ref="U17:U19"/>
    <mergeCell ref="V17:V19"/>
    <mergeCell ref="R20:R22"/>
    <mergeCell ref="S20:S22"/>
    <mergeCell ref="T20:T22"/>
    <mergeCell ref="U20:U22"/>
    <mergeCell ref="V20:V22"/>
    <mergeCell ref="Q20:Q22"/>
    <mergeCell ref="Q23:Q25"/>
    <mergeCell ref="Q26:Q28"/>
    <mergeCell ref="Q29:Q31"/>
    <mergeCell ref="R5:R7"/>
    <mergeCell ref="S5:S7"/>
    <mergeCell ref="T5:T7"/>
    <mergeCell ref="R8:R10"/>
    <mergeCell ref="S8:S10"/>
    <mergeCell ref="T8:T10"/>
    <mergeCell ref="R11:R13"/>
    <mergeCell ref="S11:S13"/>
    <mergeCell ref="T11:T13"/>
    <mergeCell ref="R14:R16"/>
    <mergeCell ref="S14:S16"/>
    <mergeCell ref="T14:T16"/>
    <mergeCell ref="R23:R25"/>
    <mergeCell ref="S23:S25"/>
    <mergeCell ref="T23:T25"/>
    <mergeCell ref="R29:R31"/>
    <mergeCell ref="S29:S31"/>
    <mergeCell ref="T29:T31"/>
    <mergeCell ref="Q2:Q4"/>
    <mergeCell ref="Q5:Q7"/>
    <mergeCell ref="R2:R4"/>
    <mergeCell ref="S2:S4"/>
    <mergeCell ref="T2:T4"/>
    <mergeCell ref="U2:U4"/>
    <mergeCell ref="V2:V4"/>
    <mergeCell ref="Q8:Q10"/>
    <mergeCell ref="Q11:Q13"/>
    <mergeCell ref="U5:U7"/>
    <mergeCell ref="V5:V7"/>
    <mergeCell ref="U8:U10"/>
    <mergeCell ref="V8:V10"/>
    <mergeCell ref="U11:U13"/>
    <mergeCell ref="V11:V13"/>
    <mergeCell ref="A20:A22"/>
    <mergeCell ref="A23:A25"/>
    <mergeCell ref="A26:A28"/>
    <mergeCell ref="A29:A31"/>
    <mergeCell ref="B2:B4"/>
    <mergeCell ref="B5:B7"/>
    <mergeCell ref="B8:B10"/>
    <mergeCell ref="B11:B13"/>
    <mergeCell ref="B14:B16"/>
    <mergeCell ref="B17:B19"/>
    <mergeCell ref="A2:A4"/>
    <mergeCell ref="A5:A7"/>
    <mergeCell ref="A8:A10"/>
    <mergeCell ref="A11:A13"/>
    <mergeCell ref="A14:A16"/>
    <mergeCell ref="A17:A19"/>
    <mergeCell ref="B20:B22"/>
    <mergeCell ref="B23:B25"/>
    <mergeCell ref="B26:B28"/>
    <mergeCell ref="B29:B31"/>
    <mergeCell ref="C2:C4"/>
    <mergeCell ref="D2:D4"/>
    <mergeCell ref="C11:C13"/>
    <mergeCell ref="C14:C16"/>
    <mergeCell ref="C17:C19"/>
    <mergeCell ref="C20:C22"/>
    <mergeCell ref="E2:E4"/>
    <mergeCell ref="F2:F4"/>
    <mergeCell ref="G2:G4"/>
    <mergeCell ref="C5:C7"/>
    <mergeCell ref="C8:C10"/>
    <mergeCell ref="G8:G10"/>
    <mergeCell ref="D5:D7"/>
    <mergeCell ref="E5:E7"/>
    <mergeCell ref="F5:F7"/>
    <mergeCell ref="G14:G16"/>
    <mergeCell ref="G17:G19"/>
    <mergeCell ref="G5:G7"/>
    <mergeCell ref="C26:C28"/>
    <mergeCell ref="C29:C31"/>
    <mergeCell ref="D8:D10"/>
    <mergeCell ref="E8:E10"/>
    <mergeCell ref="F8:F10"/>
    <mergeCell ref="D11:D13"/>
    <mergeCell ref="E11:E13"/>
    <mergeCell ref="F11:F13"/>
    <mergeCell ref="D20:D22"/>
    <mergeCell ref="D14:D16"/>
    <mergeCell ref="E14:E16"/>
    <mergeCell ref="F14:F16"/>
    <mergeCell ref="D17:D19"/>
    <mergeCell ref="E17:E19"/>
    <mergeCell ref="F17:F19"/>
    <mergeCell ref="C23:C25"/>
    <mergeCell ref="D26:D28"/>
    <mergeCell ref="E26:E28"/>
    <mergeCell ref="F26:F28"/>
    <mergeCell ref="G26:G28"/>
    <mergeCell ref="D29:D31"/>
    <mergeCell ref="E29:E31"/>
    <mergeCell ref="F29:F31"/>
    <mergeCell ref="G29:G31"/>
    <mergeCell ref="E20:E22"/>
    <mergeCell ref="F20:F22"/>
    <mergeCell ref="G20:G22"/>
    <mergeCell ref="D23:D25"/>
    <mergeCell ref="E23:E25"/>
    <mergeCell ref="F23:F25"/>
    <mergeCell ref="G23:G25"/>
    <mergeCell ref="I2:I4"/>
    <mergeCell ref="J2:J4"/>
    <mergeCell ref="I5:I7"/>
    <mergeCell ref="I8:I10"/>
    <mergeCell ref="I11:I13"/>
    <mergeCell ref="J5:J7"/>
    <mergeCell ref="J8:J10"/>
    <mergeCell ref="J11:J13"/>
    <mergeCell ref="G11:G13"/>
    <mergeCell ref="J14:J16"/>
    <mergeCell ref="J17:J19"/>
    <mergeCell ref="J20:J22"/>
    <mergeCell ref="J23:J25"/>
    <mergeCell ref="J26:J28"/>
    <mergeCell ref="J29:J31"/>
    <mergeCell ref="I14:I16"/>
    <mergeCell ref="I17:I19"/>
    <mergeCell ref="I20:I22"/>
    <mergeCell ref="I23:I25"/>
    <mergeCell ref="I26:I28"/>
    <mergeCell ref="I29:I31"/>
    <mergeCell ref="K20:K22"/>
    <mergeCell ref="K23:K25"/>
    <mergeCell ref="K26:K28"/>
    <mergeCell ref="K29:K31"/>
    <mergeCell ref="L2:L4"/>
    <mergeCell ref="L5:L7"/>
    <mergeCell ref="L8:L10"/>
    <mergeCell ref="L11:L13"/>
    <mergeCell ref="L14:L16"/>
    <mergeCell ref="L17:L19"/>
    <mergeCell ref="K2:K4"/>
    <mergeCell ref="K5:K7"/>
    <mergeCell ref="K8:K10"/>
    <mergeCell ref="K11:K13"/>
    <mergeCell ref="K14:K16"/>
    <mergeCell ref="K17:K19"/>
    <mergeCell ref="L20:L22"/>
    <mergeCell ref="L23:L25"/>
    <mergeCell ref="L26:L28"/>
    <mergeCell ref="L29:L31"/>
    <mergeCell ref="O29:O31"/>
    <mergeCell ref="N20:N22"/>
    <mergeCell ref="N23:N25"/>
    <mergeCell ref="N26:N28"/>
    <mergeCell ref="N29:N31"/>
    <mergeCell ref="O2:O4"/>
    <mergeCell ref="O5:O7"/>
    <mergeCell ref="O8:O10"/>
    <mergeCell ref="O11:O13"/>
    <mergeCell ref="O14:O16"/>
    <mergeCell ref="O17:O19"/>
    <mergeCell ref="N2:N4"/>
    <mergeCell ref="N5:N7"/>
    <mergeCell ref="N8:N10"/>
    <mergeCell ref="N11:N13"/>
    <mergeCell ref="N14:N16"/>
    <mergeCell ref="N17:N19"/>
    <mergeCell ref="O20:O22"/>
    <mergeCell ref="O23:O25"/>
    <mergeCell ref="O26:O28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9083-A37A-5644-8A2C-C99EA7759353}">
  <dimension ref="A1:AB33"/>
  <sheetViews>
    <sheetView zoomScale="55" zoomScaleNormal="55" workbookViewId="0">
      <selection activeCell="H3" sqref="H3"/>
    </sheetView>
  </sheetViews>
  <sheetFormatPr baseColWidth="10" defaultRowHeight="15.6"/>
  <cols>
    <col min="4" max="4" width="10.796875" customWidth="1"/>
    <col min="17" max="17" width="12.5" customWidth="1"/>
  </cols>
  <sheetData>
    <row r="1" spans="1:28">
      <c r="A1" s="21" t="s">
        <v>62</v>
      </c>
      <c r="B1" s="21"/>
      <c r="D1" s="21" t="s">
        <v>64</v>
      </c>
      <c r="E1" s="21"/>
      <c r="L1" t="s">
        <v>85</v>
      </c>
      <c r="P1" s="21" t="s">
        <v>62</v>
      </c>
      <c r="Q1" s="21"/>
      <c r="S1" s="21" t="s">
        <v>90</v>
      </c>
      <c r="T1" s="21"/>
      <c r="Y1" s="21" t="s">
        <v>62</v>
      </c>
      <c r="Z1" s="21"/>
      <c r="AA1" s="21" t="s">
        <v>90</v>
      </c>
      <c r="AB1" s="21"/>
    </row>
    <row r="2" spans="1:28">
      <c r="A2" t="s">
        <v>63</v>
      </c>
      <c r="B2">
        <v>4</v>
      </c>
      <c r="D2" t="s">
        <v>63</v>
      </c>
      <c r="E2">
        <v>5</v>
      </c>
      <c r="G2" t="s">
        <v>72</v>
      </c>
      <c r="H2">
        <v>491.79</v>
      </c>
      <c r="P2" t="s">
        <v>86</v>
      </c>
      <c r="Q2">
        <f>Results_e_continued!B38</f>
        <v>200</v>
      </c>
      <c r="V2" t="s">
        <v>98</v>
      </c>
      <c r="W2">
        <f>Results_e_continued!B37</f>
        <v>600</v>
      </c>
      <c r="Y2">
        <v>1</v>
      </c>
      <c r="AA2">
        <v>3</v>
      </c>
    </row>
    <row r="3" spans="1:28">
      <c r="A3" t="s">
        <v>65</v>
      </c>
      <c r="B3">
        <v>65</v>
      </c>
      <c r="D3" t="s">
        <v>65</v>
      </c>
      <c r="E3">
        <v>28</v>
      </c>
      <c r="G3" t="s">
        <v>138</v>
      </c>
      <c r="H3">
        <v>65643.64</v>
      </c>
      <c r="P3" t="s">
        <v>87</v>
      </c>
      <c r="Q3">
        <v>3.9</v>
      </c>
      <c r="V3" t="s">
        <v>100</v>
      </c>
      <c r="W3">
        <v>1</v>
      </c>
      <c r="Y3">
        <v>2</v>
      </c>
      <c r="AA3">
        <v>5</v>
      </c>
    </row>
    <row r="4" spans="1:28">
      <c r="A4" t="s">
        <v>66</v>
      </c>
      <c r="B4">
        <v>42</v>
      </c>
      <c r="D4" t="s">
        <v>66</v>
      </c>
      <c r="E4">
        <v>2.4</v>
      </c>
      <c r="G4" t="s">
        <v>74</v>
      </c>
      <c r="H4">
        <v>72439.05</v>
      </c>
      <c r="Y4">
        <v>4</v>
      </c>
      <c r="AA4">
        <v>7</v>
      </c>
    </row>
    <row r="5" spans="1:28">
      <c r="A5" t="s">
        <v>67</v>
      </c>
      <c r="B5">
        <v>3</v>
      </c>
      <c r="D5" t="s">
        <v>67</v>
      </c>
      <c r="E5">
        <v>20</v>
      </c>
      <c r="P5" t="s">
        <v>89</v>
      </c>
      <c r="Q5">
        <f xml:space="preserve"> (-(Q3/2) * Q2*Q3 + (B5/2)*B5*B3 + (B5+(B4-B5)/2) * B6 * (B4-B5))</f>
        <v>614.25</v>
      </c>
      <c r="S5" t="s">
        <v>89</v>
      </c>
      <c r="T5">
        <f xml:space="preserve"> (-Q3/2 * Q2*Q3 +  2*(E6*E4)*(E4/2) + 2*((E3/2)*E4*E3) + (((E3-E4)+E4/2)*(E5-2*E4)*E4))</f>
        <v>1424.6640000000002</v>
      </c>
      <c r="Y5">
        <v>6</v>
      </c>
      <c r="AA5">
        <v>8</v>
      </c>
    </row>
    <row r="6" spans="1:28" ht="16.8">
      <c r="A6" t="s">
        <v>68</v>
      </c>
      <c r="B6">
        <v>2.1</v>
      </c>
      <c r="D6" t="s">
        <v>68</v>
      </c>
      <c r="E6" s="11">
        <v>15</v>
      </c>
      <c r="P6" t="s">
        <v>97</v>
      </c>
      <c r="Q6">
        <f xml:space="preserve"> Q2*Q3 + B3*B5 + (B4-B5)*B6</f>
        <v>1056.9000000000001</v>
      </c>
      <c r="S6" t="s">
        <v>97</v>
      </c>
      <c r="T6">
        <f xml:space="preserve"> Q2*Q3 + E4*(2*E6+2*E3+(E5-2*E4))</f>
        <v>1022.88</v>
      </c>
      <c r="AA6">
        <v>9</v>
      </c>
    </row>
    <row r="7" spans="1:28">
      <c r="P7" t="s">
        <v>88</v>
      </c>
      <c r="Q7">
        <f>Q5/Q6</f>
        <v>0.58118081180811798</v>
      </c>
      <c r="S7" t="s">
        <v>88</v>
      </c>
      <c r="T7">
        <f>T5/T6</f>
        <v>1.3927968090098548</v>
      </c>
    </row>
    <row r="8" spans="1:28">
      <c r="A8" t="s">
        <v>116</v>
      </c>
      <c r="B8">
        <f>B4</f>
        <v>42</v>
      </c>
      <c r="D8" t="s">
        <v>71</v>
      </c>
      <c r="E8">
        <f>E3</f>
        <v>28</v>
      </c>
    </row>
    <row r="9" spans="1:28">
      <c r="A9" t="s">
        <v>70</v>
      </c>
      <c r="B9">
        <f>B6</f>
        <v>2.1</v>
      </c>
      <c r="D9" t="s">
        <v>75</v>
      </c>
      <c r="E9">
        <f>E5</f>
        <v>20</v>
      </c>
      <c r="P9" t="s">
        <v>91</v>
      </c>
      <c r="Q9">
        <f>(Q2*(Q3^3)) / 12 + Q2*Q3*(Q7+Q3/2)^2</f>
        <v>5986.0135156111701</v>
      </c>
      <c r="S9" t="s">
        <v>96</v>
      </c>
      <c r="T9">
        <f xml:space="preserve"> (Q2*Q3^3) / 12 + Q2*Q3*(Q3/2 + T7)^2</f>
        <v>9704.5965949346428</v>
      </c>
    </row>
    <row r="10" spans="1:28">
      <c r="A10" t="s">
        <v>117</v>
      </c>
      <c r="B10">
        <f>B3/2</f>
        <v>32.5</v>
      </c>
      <c r="D10" t="s">
        <v>126</v>
      </c>
      <c r="E10">
        <f>E6+E4</f>
        <v>17.399999999999999</v>
      </c>
      <c r="P10" t="s">
        <v>92</v>
      </c>
      <c r="Q10">
        <f>(B3*(B5^3))/12 + B3*B5*(B5/2 - Q7)^2</f>
        <v>310.87459661496985</v>
      </c>
      <c r="S10" t="s">
        <v>95</v>
      </c>
      <c r="T10">
        <f xml:space="preserve"> (E6*(E4^3)) / 12 + E6*E4*((E4/2-T7)^2)</f>
        <v>18.618141944317767</v>
      </c>
    </row>
    <row r="11" spans="1:28">
      <c r="A11" t="s">
        <v>69</v>
      </c>
      <c r="B11">
        <f>B5</f>
        <v>3</v>
      </c>
      <c r="D11" t="s">
        <v>69</v>
      </c>
      <c r="E11">
        <f>E4</f>
        <v>2.4</v>
      </c>
      <c r="P11" t="s">
        <v>93</v>
      </c>
      <c r="Q11">
        <f>(B6*((B4-B5)^3)/12) + B6*(B4-B5)*(((B4+B5)/2)-Q7)^2</f>
        <v>49728.42157412073</v>
      </c>
      <c r="S11" t="s">
        <v>92</v>
      </c>
      <c r="T11">
        <f xml:space="preserve"> (E4*(E3^3))/ 12 + E3*E4*(E3/2 - T7)^2</f>
        <v>15071.273658486893</v>
      </c>
    </row>
    <row r="12" spans="1:28">
      <c r="D12" t="s">
        <v>70</v>
      </c>
      <c r="E12">
        <f>E4</f>
        <v>2.4</v>
      </c>
      <c r="S12" t="s">
        <v>93</v>
      </c>
      <c r="T12">
        <f xml:space="preserve"> ((E5-2*E4)*(E4^3))/12 + (E5-2*E4)*E4*(E3-E4/2 - T7)^2</f>
        <v>23566.297931091714</v>
      </c>
    </row>
    <row r="13" spans="1:28">
      <c r="A13" t="s">
        <v>118</v>
      </c>
      <c r="B13">
        <f>$B$10-($B$9/2) * (0.25 * ($B$9/$B$11))</f>
        <v>32.316249999999997</v>
      </c>
      <c r="D13" t="s">
        <v>76</v>
      </c>
      <c r="E13">
        <v>0</v>
      </c>
      <c r="P13" t="s">
        <v>94</v>
      </c>
      <c r="Q13" s="8">
        <f xml:space="preserve"> SUM(Q9:Q11)</f>
        <v>56025.309686346867</v>
      </c>
      <c r="S13" t="s">
        <v>94</v>
      </c>
      <c r="T13" s="8">
        <f xml:space="preserve"> T9+2*T10+2*T11+T12</f>
        <v>63450.678126888779</v>
      </c>
    </row>
    <row r="14" spans="1:28">
      <c r="A14" t="s">
        <v>119</v>
      </c>
      <c r="B14">
        <f>$B$8-($B$11/2) * (2- 0.5 * ($B$9/$B$11))</f>
        <v>39.524999999999999</v>
      </c>
      <c r="D14" t="s">
        <v>123</v>
      </c>
      <c r="E14">
        <f>E8-E12</f>
        <v>25.6</v>
      </c>
    </row>
    <row r="15" spans="1:28">
      <c r="A15" t="s">
        <v>73</v>
      </c>
      <c r="B15">
        <v>0.41</v>
      </c>
      <c r="D15" t="s">
        <v>124</v>
      </c>
      <c r="E15">
        <f>E9-E11</f>
        <v>17.600000000000001</v>
      </c>
      <c r="P15" t="s">
        <v>76</v>
      </c>
      <c r="Q15" s="8">
        <f>SQRT(Q13/Q6)</f>
        <v>7.2807343264687763</v>
      </c>
      <c r="S15" t="s">
        <v>76</v>
      </c>
      <c r="T15" s="8">
        <f>SQRT(T13/T6)</f>
        <v>7.8760015046794889</v>
      </c>
    </row>
    <row r="16" spans="1:28">
      <c r="A16" t="s">
        <v>120</v>
      </c>
      <c r="B16">
        <f>(B13/B11)*SQRT(H2/(B15*H3))</f>
        <v>1.4561338418416767</v>
      </c>
      <c r="D16" t="s">
        <v>125</v>
      </c>
      <c r="E16">
        <f xml:space="preserve"> E10 - E11/2</f>
        <v>16.2</v>
      </c>
      <c r="P16" t="s">
        <v>99</v>
      </c>
      <c r="Q16" s="8">
        <f xml:space="preserve"> W3*W2 / Q15</f>
        <v>82.409269875255234</v>
      </c>
      <c r="S16" t="s">
        <v>99</v>
      </c>
      <c r="T16" s="8">
        <f xml:space="preserve"> W3*W2 / T15</f>
        <v>76.180787883739342</v>
      </c>
    </row>
    <row r="17" spans="1:22">
      <c r="A17" t="s">
        <v>121</v>
      </c>
      <c r="B17">
        <f>(B14/B9)*SQRT(H2/(B15*H3))</f>
        <v>2.5442171441299331</v>
      </c>
    </row>
    <row r="18" spans="1:22">
      <c r="D18" t="s">
        <v>127</v>
      </c>
      <c r="E18">
        <v>0.41</v>
      </c>
      <c r="P18" t="s">
        <v>84</v>
      </c>
      <c r="Q18">
        <f>f_Crippling!B24</f>
        <v>394.86590660683822</v>
      </c>
      <c r="S18" t="s">
        <v>84</v>
      </c>
      <c r="T18">
        <f>f_Crippling!E30</f>
        <v>491.79</v>
      </c>
    </row>
    <row r="19" spans="1:22">
      <c r="A19" t="s">
        <v>71</v>
      </c>
      <c r="B19">
        <f>IF(B16&lt;0.4,NA(),IF(B16&lt;=1.095,1.4-0.628*B16,IF(B16&lt;=1.633,0.78/B16,0.69/(B16^0.75))))</f>
        <v>0.53566504505758772</v>
      </c>
      <c r="D19" t="s">
        <v>128</v>
      </c>
      <c r="E19">
        <v>3.6</v>
      </c>
      <c r="P19" t="s">
        <v>101</v>
      </c>
      <c r="Q19" s="8">
        <f>SQRT((2*(PI()^2)*f_Crippling!$H$3)/(f_Crippling!Q18))</f>
        <v>57.284401400784148</v>
      </c>
      <c r="S19" t="s">
        <v>101</v>
      </c>
      <c r="T19" s="8">
        <f>SQRT((2*(PI()^2)*f_Crippling!$H$3)/(f_Crippling!T18))</f>
        <v>51.330010283089493</v>
      </c>
    </row>
    <row r="20" spans="1:22">
      <c r="A20" t="s">
        <v>75</v>
      </c>
      <c r="B20">
        <f>IF(B17&lt;0.4,NA(),IF(B17&lt;=1.095,1.4-0.628*B17,IF(B17&lt;=1.633,0.78/B17,0.69/(B17^0.75))))</f>
        <v>0.34251804747341891</v>
      </c>
      <c r="D20" t="s">
        <v>77</v>
      </c>
      <c r="E20">
        <f>(E14/E11)*SQRT($H$2/(E19*$H$3))</f>
        <v>0.48659875394431773</v>
      </c>
    </row>
    <row r="21" spans="1:22">
      <c r="A21" t="s">
        <v>81</v>
      </c>
      <c r="B21">
        <f>B19*H2</f>
        <v>263.43471250887109</v>
      </c>
      <c r="D21" t="s">
        <v>78</v>
      </c>
      <c r="E21">
        <f>(E15/E12)*SQRT($H$2/(E19*$H$3))</f>
        <v>0.3345366433367184</v>
      </c>
      <c r="F21" t="s">
        <v>82</v>
      </c>
    </row>
    <row r="22" spans="1:22">
      <c r="A22" t="s">
        <v>83</v>
      </c>
      <c r="B22">
        <f>B20*H2</f>
        <v>168.44695056695269</v>
      </c>
      <c r="D22" t="s">
        <v>133</v>
      </c>
      <c r="E22">
        <f>(E16/E12)*SQRT($H$2/(E18*$H$3))</f>
        <v>0.91244220159498557</v>
      </c>
      <c r="P22" t="s">
        <v>109</v>
      </c>
    </row>
    <row r="23" spans="1:22">
      <c r="A23" t="s">
        <v>122</v>
      </c>
      <c r="B23">
        <f xml:space="preserve"> (B22*B14*B9 + 2*H2*B13*B11) / (2*B13*B11 + B14*B9)</f>
        <v>394.86590660683822</v>
      </c>
      <c r="D23" t="s">
        <v>79</v>
      </c>
      <c r="E23">
        <f>IF(E20&lt;0.4,NA(),IF(E20&lt;=1.095,1.4-0.628*E20,IF(E20&lt;=1.633,0.78/E20,0.69/(E20^0.75))))</f>
        <v>1.0944159825229685</v>
      </c>
      <c r="P23" t="s">
        <v>108</v>
      </c>
      <c r="Q23">
        <f>IF(Q16&lt;Q19,Q18-1/$H$3*((Q18/(2*PI()))^2)*Q16^2,PI()^2*$H$3/Q16^2)</f>
        <v>95.398219161394678</v>
      </c>
      <c r="S23" t="s">
        <v>108</v>
      </c>
      <c r="T23">
        <f>IF(T16&lt;T19,T18-1/$H$3*((T18/(2*PI()))^2)*T16^2,PI()^2*$H$3/T16^2)</f>
        <v>111.63528374528528</v>
      </c>
    </row>
    <row r="24" spans="1:22">
      <c r="A24" t="s">
        <v>84</v>
      </c>
      <c r="B24">
        <f xml:space="preserve"> MIN(H2,B23)</f>
        <v>394.86590660683822</v>
      </c>
      <c r="D24" t="s">
        <v>80</v>
      </c>
      <c r="E24" t="e">
        <f>IF(E21&lt;0.4,NA(),IF(E21&lt;=1.095,1.4-0.628*E21,IF(E21&lt;=1.633,0.78/E21,0.69/(E21^0.75))))</f>
        <v>#N/A</v>
      </c>
    </row>
    <row r="25" spans="1:22">
      <c r="D25" t="s">
        <v>134</v>
      </c>
      <c r="E25">
        <f>IF(E22&lt;0.4,NA(),IF(E22&lt;=1.095,1.4-0.628*E22,IF(E22&lt;=1.633,0.78/E22,0.69/(E22^0.75))))</f>
        <v>0.82698629739834895</v>
      </c>
    </row>
    <row r="26" spans="1:22">
      <c r="D26" t="s">
        <v>81</v>
      </c>
      <c r="E26">
        <f>E23*H2</f>
        <v>538.22283604497068</v>
      </c>
    </row>
    <row r="27" spans="1:22">
      <c r="D27" t="s">
        <v>83</v>
      </c>
      <c r="E27">
        <f>H2</f>
        <v>491.79</v>
      </c>
      <c r="V27" t="s">
        <v>102</v>
      </c>
    </row>
    <row r="29" spans="1:22">
      <c r="D29" t="s">
        <v>122</v>
      </c>
      <c r="E29">
        <f xml:space="preserve"> (2*E26*E14*E11 +E27*E15*E12 + 2*H2*E16*E4) / (2*E14*E11 + E15*E12 + 2*E16*E4)</f>
        <v>515.28171151682318</v>
      </c>
    </row>
    <row r="30" spans="1:22">
      <c r="D30" t="s">
        <v>84</v>
      </c>
      <c r="E30" s="8">
        <f>MIN((E26*E14*E11+E27*E15*E12)/(E14*E11+E15*E12),$H$2)</f>
        <v>491.79</v>
      </c>
    </row>
    <row r="33" spans="11:11" ht="16.8">
      <c r="K33" s="11"/>
    </row>
  </sheetData>
  <mergeCells count="6">
    <mergeCell ref="AA1:AB1"/>
    <mergeCell ref="A1:B1"/>
    <mergeCell ref="D1:E1"/>
    <mergeCell ref="P1:Q1"/>
    <mergeCell ref="S1:T1"/>
    <mergeCell ref="Y1:Z1"/>
  </mergeCells>
  <phoneticPr fontId="9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AC8F-C7A2-DE47-BC74-CE39E097FECE}">
  <dimension ref="B1:J36"/>
  <sheetViews>
    <sheetView topLeftCell="A4" zoomScale="85" zoomScaleNormal="85" workbookViewId="0">
      <selection activeCell="D25" sqref="D25"/>
    </sheetView>
  </sheetViews>
  <sheetFormatPr baseColWidth="10" defaultRowHeight="15.6"/>
  <cols>
    <col min="2" max="2" width="13.296875" customWidth="1"/>
    <col min="3" max="3" width="15.5" customWidth="1"/>
    <col min="8" max="8" width="14" customWidth="1"/>
    <col min="9" max="9" width="17.296875" bestFit="1" customWidth="1"/>
    <col min="10" max="10" width="14.796875" customWidth="1"/>
  </cols>
  <sheetData>
    <row r="1" spans="2:10">
      <c r="B1" s="21" t="s">
        <v>106</v>
      </c>
      <c r="C1" s="21"/>
      <c r="D1" s="21"/>
      <c r="E1" s="21"/>
      <c r="F1" s="21" t="s">
        <v>107</v>
      </c>
      <c r="G1" s="21"/>
      <c r="H1" s="21"/>
      <c r="I1" s="21"/>
    </row>
    <row r="2" spans="2:10">
      <c r="B2" t="s">
        <v>103</v>
      </c>
      <c r="C2" t="s">
        <v>104</v>
      </c>
      <c r="D2" t="s">
        <v>108</v>
      </c>
      <c r="E2" t="s">
        <v>105</v>
      </c>
      <c r="G2" t="s">
        <v>104</v>
      </c>
      <c r="H2" t="s">
        <v>108</v>
      </c>
      <c r="I2" t="s">
        <v>105</v>
      </c>
    </row>
    <row r="3" spans="2:10">
      <c r="B3">
        <v>1</v>
      </c>
      <c r="C3">
        <f>C16</f>
        <v>-75.684082406722581</v>
      </c>
      <c r="D3">
        <f>E28</f>
        <v>95.398219161394678</v>
      </c>
      <c r="E3" s="8">
        <f>D3/ABS(1.5*C3)</f>
        <v>0.84031953287728578</v>
      </c>
      <c r="G3">
        <f t="shared" ref="G3:G11" si="0">D16</f>
        <v>-26.764135102321774</v>
      </c>
      <c r="H3">
        <f>E28</f>
        <v>95.398219161394678</v>
      </c>
      <c r="I3" s="8">
        <f>H3/ABS(1.5*G3)</f>
        <v>2.3762700543514277</v>
      </c>
    </row>
    <row r="4" spans="2:10">
      <c r="B4">
        <v>2</v>
      </c>
      <c r="C4">
        <f t="shared" ref="C4:C11" si="1">C17</f>
        <v>-90.831377026703024</v>
      </c>
      <c r="D4">
        <f t="shared" ref="D4:D11" si="2">E29</f>
        <v>95.398219161394678</v>
      </c>
      <c r="E4" s="8">
        <f t="shared" ref="E4:E11" si="3">D4/ABS(1.5*C4)</f>
        <v>0.70018549598302415</v>
      </c>
      <c r="G4">
        <f t="shared" si="0"/>
        <v>-29.886561038637495</v>
      </c>
      <c r="H4">
        <f t="shared" ref="H4:H10" si="4">E29</f>
        <v>95.398219161394678</v>
      </c>
      <c r="I4" s="8">
        <f t="shared" ref="I4:I11" si="5">H4/ABS(1.5*G4)</f>
        <v>2.1280070561494933</v>
      </c>
    </row>
    <row r="5" spans="2:10">
      <c r="B5">
        <v>3</v>
      </c>
      <c r="C5">
        <f t="shared" si="1"/>
        <v>-88.572137010359</v>
      </c>
      <c r="D5">
        <f t="shared" si="2"/>
        <v>111.63528374528528</v>
      </c>
      <c r="E5" s="8">
        <f t="shared" si="3"/>
        <v>0.84025885576355253</v>
      </c>
      <c r="G5">
        <f t="shared" si="0"/>
        <v>-29.143202004011091</v>
      </c>
      <c r="H5">
        <f t="shared" si="4"/>
        <v>111.63528374528528</v>
      </c>
      <c r="I5" s="8">
        <f t="shared" si="5"/>
        <v>2.55371810162156</v>
      </c>
    </row>
    <row r="6" spans="2:10">
      <c r="B6">
        <v>4</v>
      </c>
      <c r="C6">
        <f t="shared" si="1"/>
        <v>-90.689334872862304</v>
      </c>
      <c r="D6">
        <f t="shared" si="2"/>
        <v>95.398219161394678</v>
      </c>
      <c r="E6" s="8">
        <f t="shared" si="3"/>
        <v>0.70128216138559762</v>
      </c>
      <c r="G6">
        <f t="shared" si="0"/>
        <v>-29.839974910184988</v>
      </c>
      <c r="H6">
        <f t="shared" si="4"/>
        <v>95.398219161394678</v>
      </c>
      <c r="I6" s="8">
        <f t="shared" si="5"/>
        <v>2.1313292978860905</v>
      </c>
    </row>
    <row r="7" spans="2:10">
      <c r="B7">
        <v>5</v>
      </c>
      <c r="C7">
        <f t="shared" si="1"/>
        <v>-88.159620232932184</v>
      </c>
      <c r="D7">
        <f t="shared" si="2"/>
        <v>111.63528374528528</v>
      </c>
      <c r="E7" s="8">
        <f t="shared" si="3"/>
        <v>0.84419059769333959</v>
      </c>
      <c r="G7">
        <f t="shared" si="0"/>
        <v>-29.007457400272404</v>
      </c>
      <c r="H7">
        <f t="shared" si="4"/>
        <v>111.63528374528528</v>
      </c>
      <c r="I7" s="8">
        <f t="shared" si="5"/>
        <v>2.5656685958334959</v>
      </c>
    </row>
    <row r="8" spans="2:10">
      <c r="B8">
        <v>6</v>
      </c>
      <c r="C8">
        <f t="shared" si="1"/>
        <v>-90.658605880872841</v>
      </c>
      <c r="D8">
        <f t="shared" si="2"/>
        <v>95.398219161394678</v>
      </c>
      <c r="E8" s="8">
        <f t="shared" si="3"/>
        <v>0.70151986296627145</v>
      </c>
      <c r="G8">
        <f t="shared" si="0"/>
        <v>-29.829735075928717</v>
      </c>
      <c r="H8">
        <f t="shared" si="4"/>
        <v>95.398219161394678</v>
      </c>
      <c r="I8" s="8">
        <f t="shared" si="5"/>
        <v>2.1320609322335069</v>
      </c>
    </row>
    <row r="9" spans="2:10">
      <c r="B9">
        <v>7</v>
      </c>
      <c r="C9">
        <f t="shared" si="1"/>
        <v>-90.0998167175281</v>
      </c>
      <c r="D9">
        <f t="shared" si="2"/>
        <v>111.63528374528528</v>
      </c>
      <c r="E9" s="8">
        <f t="shared" si="3"/>
        <v>0.82601191887195513</v>
      </c>
      <c r="G9">
        <f t="shared" si="0"/>
        <v>-29.645815235416105</v>
      </c>
      <c r="H9">
        <f t="shared" si="4"/>
        <v>111.63528374528528</v>
      </c>
      <c r="I9" s="8">
        <f t="shared" si="5"/>
        <v>2.5104225303255436</v>
      </c>
    </row>
    <row r="10" spans="2:10">
      <c r="B10">
        <v>8</v>
      </c>
      <c r="C10">
        <f t="shared" si="1"/>
        <v>-92.755482956757845</v>
      </c>
      <c r="D10">
        <f t="shared" si="2"/>
        <v>111.63528374528528</v>
      </c>
      <c r="E10" s="8">
        <f t="shared" si="3"/>
        <v>0.8023625140473124</v>
      </c>
      <c r="G10">
        <f t="shared" si="0"/>
        <v>-30.51949482151451</v>
      </c>
      <c r="H10">
        <f t="shared" si="4"/>
        <v>111.63528374528528</v>
      </c>
      <c r="I10" s="8">
        <f t="shared" si="5"/>
        <v>2.4385568284175037</v>
      </c>
    </row>
    <row r="11" spans="2:10">
      <c r="B11">
        <v>9</v>
      </c>
      <c r="C11">
        <f t="shared" si="1"/>
        <v>-82.499216043006783</v>
      </c>
      <c r="D11">
        <f t="shared" si="2"/>
        <v>111.63528374528528</v>
      </c>
      <c r="E11" s="8">
        <f t="shared" si="3"/>
        <v>0.90211187531842629</v>
      </c>
      <c r="G11">
        <f t="shared" si="0"/>
        <v>-27.144825344874942</v>
      </c>
      <c r="H11">
        <f>E36</f>
        <v>111.63528374528528</v>
      </c>
      <c r="I11" s="8">
        <f t="shared" si="5"/>
        <v>2.7417204403161994</v>
      </c>
    </row>
    <row r="14" spans="2:10">
      <c r="B14" t="s">
        <v>112</v>
      </c>
    </row>
    <row r="15" spans="2:10">
      <c r="B15" t="s">
        <v>103</v>
      </c>
      <c r="C15" t="s">
        <v>106</v>
      </c>
      <c r="D15" t="s">
        <v>107</v>
      </c>
      <c r="H15" s="21"/>
      <c r="I15" s="21"/>
      <c r="J15" s="21"/>
    </row>
    <row r="16" spans="2:10">
      <c r="B16">
        <v>1</v>
      </c>
      <c r="C16">
        <f>('Results_e,f'!M2*'Results_e,f'!$L2/2+'Results_e,f'!M3*'Results_e,f'!$L3/2+'Results_e,f'!O13*'Results_e,f'!$L13)/(('Results_e,f'!$L2/2)+('Results_e,f'!$L3/2)+'Results_e,f'!$L13)</f>
        <v>-75.684082406722581</v>
      </c>
      <c r="D16">
        <f>('Results_e,f'!N2*'Results_e,f'!$L2/2+'Results_e,f'!N3*'Results_e,f'!$L3/2+'Results_e,f'!P13*'Results_e,f'!$L13)/(('Results_e,f'!$L2/2)+('Results_e,f'!$L3/2)+'Results_e,f'!$L13)</f>
        <v>-26.764135102321774</v>
      </c>
    </row>
    <row r="17" spans="2:9">
      <c r="B17">
        <v>2</v>
      </c>
      <c r="C17">
        <f>('Results_e,f'!M3*'Results_e,f'!$L3/2+'Results_e,f'!M4*'Results_e,f'!$L4/2+'Results_e,f'!O14*'Results_e,f'!$L14)/(('Results_e,f'!$L3/2)+('Results_e,f'!$L4/2)+'Results_e,f'!$L14)</f>
        <v>-90.831377026703024</v>
      </c>
      <c r="D17">
        <f>('Results_e,f'!N3*'Results_e,f'!$L3/2+'Results_e,f'!N4*'Results_e,f'!$L4/2+'Results_e,f'!P14*'Results_e,f'!$L14)/(('Results_e,f'!$L3/2)+('Results_e,f'!$L4/2)+'Results_e,f'!$L14)</f>
        <v>-29.886561038637495</v>
      </c>
      <c r="I17" s="15"/>
    </row>
    <row r="18" spans="2:9">
      <c r="B18">
        <v>3</v>
      </c>
      <c r="C18">
        <f>('Results_e,f'!M4*'Results_e,f'!$L4/2+'Results_e,f'!M5*'Results_e,f'!$L5/2+'Results_e,f'!O15*'Results_e,f'!$L15)/(('Results_e,f'!$L4/2)+('Results_e,f'!$L5/2)+'Results_e,f'!$L15)</f>
        <v>-88.572137010359</v>
      </c>
      <c r="D18">
        <f>('Results_e,f'!N4*'Results_e,f'!$L4/2+'Results_e,f'!N5*'Results_e,f'!$L5/2+'Results_e,f'!P15*'Results_e,f'!$L15)/(('Results_e,f'!$L4/2)+('Results_e,f'!$L5/2)+'Results_e,f'!$L15)</f>
        <v>-29.143202004011091</v>
      </c>
      <c r="I18" s="15"/>
    </row>
    <row r="19" spans="2:9">
      <c r="B19">
        <v>4</v>
      </c>
      <c r="C19">
        <f>('Results_e,f'!M5*'Results_e,f'!$L5/2+'Results_e,f'!M6*'Results_e,f'!$L6/2+'Results_e,f'!O16*'Results_e,f'!$L16)/(('Results_e,f'!$L5/2)+('Results_e,f'!$L6/2)+'Results_e,f'!$L16)</f>
        <v>-90.689334872862304</v>
      </c>
      <c r="D19">
        <f>('Results_e,f'!N5*'Results_e,f'!$L5/2+'Results_e,f'!N6*'Results_e,f'!$L6/2+'Results_e,f'!P16*'Results_e,f'!$L16)/(('Results_e,f'!$L5/2)+('Results_e,f'!$L6/2)+'Results_e,f'!$L16)</f>
        <v>-29.839974910184988</v>
      </c>
      <c r="I19" s="15"/>
    </row>
    <row r="20" spans="2:9">
      <c r="B20">
        <v>5</v>
      </c>
      <c r="C20">
        <f>('Results_e,f'!M6*'Results_e,f'!$L6/2+'Results_e,f'!M7*'Results_e,f'!$L7/2+'Results_e,f'!O17*'Results_e,f'!$L17)/(('Results_e,f'!$L6/2)+('Results_e,f'!$L7/2)+'Results_e,f'!$L17)</f>
        <v>-88.159620232932184</v>
      </c>
      <c r="D20">
        <f>('Results_e,f'!N6*'Results_e,f'!$L6/2+'Results_e,f'!N7*'Results_e,f'!$L7/2+'Results_e,f'!P17*'Results_e,f'!$L17)/(('Results_e,f'!$L6/2)+('Results_e,f'!$L7/2)+'Results_e,f'!$L17)</f>
        <v>-29.007457400272404</v>
      </c>
      <c r="I20" s="15"/>
    </row>
    <row r="21" spans="2:9">
      <c r="B21">
        <v>6</v>
      </c>
      <c r="C21">
        <f>('Results_e,f'!M7*'Results_e,f'!$L7/2+'Results_e,f'!M8*'Results_e,f'!$L8/2+'Results_e,f'!O18*'Results_e,f'!$L18)/(('Results_e,f'!$L7/2)+('Results_e,f'!$L8/2)+'Results_e,f'!$L18)</f>
        <v>-90.658605880872841</v>
      </c>
      <c r="D21">
        <f>('Results_e,f'!N7*'Results_e,f'!$L7/2+'Results_e,f'!N8*'Results_e,f'!$L8/2+'Results_e,f'!P18*'Results_e,f'!$L18)/(('Results_e,f'!$L7/2)+('Results_e,f'!$L8/2)+'Results_e,f'!$L18)</f>
        <v>-29.829735075928717</v>
      </c>
      <c r="I21" s="15"/>
    </row>
    <row r="22" spans="2:9">
      <c r="B22">
        <v>7</v>
      </c>
      <c r="C22">
        <f>('Results_e,f'!M8*'Results_e,f'!$L8/2+'Results_e,f'!M9*'Results_e,f'!$L9/2+'Results_e,f'!O19*'Results_e,f'!$L19)/(('Results_e,f'!$L8/2)+('Results_e,f'!$L9/2)+'Results_e,f'!$L19)</f>
        <v>-90.0998167175281</v>
      </c>
      <c r="D22">
        <f>('Results_e,f'!N8*'Results_e,f'!$L8/2+'Results_e,f'!N9*'Results_e,f'!$L9/2+'Results_e,f'!P19*'Results_e,f'!$L19)/(('Results_e,f'!$L8/2)+('Results_e,f'!$L9/2)+'Results_e,f'!$L19)</f>
        <v>-29.645815235416105</v>
      </c>
      <c r="I22" s="15"/>
    </row>
    <row r="23" spans="2:9">
      <c r="B23">
        <v>8</v>
      </c>
      <c r="C23">
        <f>('Results_e,f'!M9*'Results_e,f'!$L9/2+'Results_e,f'!M10*'Results_e,f'!$L10/2+'Results_e,f'!O20*'Results_e,f'!$L20)/(('Results_e,f'!$L9/2)+('Results_e,f'!$L10/2)+'Results_e,f'!$L20)</f>
        <v>-92.755482956757845</v>
      </c>
      <c r="D23">
        <f>('Results_e,f'!N9*'Results_e,f'!$L9/2+'Results_e,f'!N10*'Results_e,f'!$L10/2+'Results_e,f'!P20*'Results_e,f'!$L20)/(('Results_e,f'!$L9/2)+('Results_e,f'!$L10/2)+'Results_e,f'!$L20)</f>
        <v>-30.51949482151451</v>
      </c>
      <c r="I23" s="15"/>
    </row>
    <row r="24" spans="2:9">
      <c r="B24">
        <v>9</v>
      </c>
      <c r="C24">
        <f>('Results_e,f'!M10*'Results_e,f'!$L10/2+'Results_e,f'!M11*'Results_e,f'!$L11/2+'Results_e,f'!O21*'Results_e,f'!$L21)/(('Results_e,f'!$L10/2)+('Results_e,f'!$L11/2)+'Results_e,f'!$L21)</f>
        <v>-82.499216043006783</v>
      </c>
      <c r="D24">
        <f>('Results_e,f'!N10*'Results_e,f'!$L10/2+'Results_e,f'!N11*'Results_e,f'!$L11/2+'Results_e,f'!P21*'Results_e,f'!$L21)/(('Results_e,f'!$L10/2)+('Results_e,f'!$L11/2)+'Results_e,f'!$L21)</f>
        <v>-27.144825344874942</v>
      </c>
      <c r="I24" s="15"/>
    </row>
    <row r="25" spans="2:9">
      <c r="I25" s="15"/>
    </row>
    <row r="27" spans="2:9">
      <c r="B27" t="s">
        <v>139</v>
      </c>
      <c r="C27" t="s">
        <v>137</v>
      </c>
      <c r="D27" t="s">
        <v>99</v>
      </c>
      <c r="E27" t="s">
        <v>140</v>
      </c>
    </row>
    <row r="28" spans="2:9">
      <c r="B28">
        <v>1</v>
      </c>
      <c r="C28">
        <f>IF(COUNTIF(f_Crippling!$Y$2:$Y$6,$B3)&gt;0,f_Crippling!$Q$18,IF(COUNTIF(f_Crippling!$AA$2:$AA$6,$B3)&gt;0,f_Crippling!$T$18,NA()))</f>
        <v>394.86590660683822</v>
      </c>
      <c r="D28">
        <f>IF(COUNTIF(f_Crippling!$Y$2:$Y$6,$B3)&gt;0,f_Crippling!$Q$16,IF(COUNTIF(f_Crippling!$AA$2:$AA$6,$B3)&gt;0,f_Crippling!$T$16,NA()))</f>
        <v>82.409269875255234</v>
      </c>
      <c r="E28">
        <f>(PI()^2*f_Crippling!$H$3)/(f_RF!D28^2)</f>
        <v>95.398219161394678</v>
      </c>
    </row>
    <row r="29" spans="2:9">
      <c r="B29">
        <v>2</v>
      </c>
      <c r="C29">
        <f>IF(COUNTIF(f_Crippling!$Y$2:$Y$6,$B4)&gt;0,f_Crippling!$Q$18,IF(COUNTIF(f_Crippling!$AA$2:$AA$6,$B4)&gt;0,f_Crippling!$T$18,NA()))</f>
        <v>394.86590660683822</v>
      </c>
      <c r="D29">
        <f>IF(COUNTIF(f_Crippling!$Y$2:$Y$6,$B4)&gt;0,f_Crippling!$Q$16,IF(COUNTIF(f_Crippling!$AA$2:$AA$6,$B4)&gt;0,f_Crippling!$T$16,NA()))</f>
        <v>82.409269875255234</v>
      </c>
      <c r="E29">
        <f>(PI()^2*f_Crippling!$H$3)/(f_RF!D29^2)</f>
        <v>95.398219161394678</v>
      </c>
    </row>
    <row r="30" spans="2:9">
      <c r="B30">
        <v>3</v>
      </c>
      <c r="C30">
        <f>IF(COUNTIF(f_Crippling!$Y$2:$Y$6,$B5)&gt;0,f_Crippling!$Q$18,IF(COUNTIF(f_Crippling!$AA$2:$AA$6,$B5)&gt;0,f_Crippling!$T$18,NA()))</f>
        <v>491.79</v>
      </c>
      <c r="D30">
        <f>IF(COUNTIF(f_Crippling!$Y$2:$Y$6,$B5)&gt;0,f_Crippling!$Q$16,IF(COUNTIF(f_Crippling!$AA$2:$AA$6,$B5)&gt;0,f_Crippling!$T$16,NA()))</f>
        <v>76.180787883739342</v>
      </c>
      <c r="E30">
        <f>(PI()^2*f_Crippling!$H$3)/(f_RF!D30^2)</f>
        <v>111.63528374528528</v>
      </c>
    </row>
    <row r="31" spans="2:9">
      <c r="B31">
        <v>4</v>
      </c>
      <c r="C31">
        <f>IF(COUNTIF(f_Crippling!$Y$2:$Y$6,$B6)&gt;0,f_Crippling!$Q$18,IF(COUNTIF(f_Crippling!$AA$2:$AA$6,$B6)&gt;0,f_Crippling!$T$18,NA()))</f>
        <v>394.86590660683822</v>
      </c>
      <c r="D31">
        <f>IF(COUNTIF(f_Crippling!$Y$2:$Y$6,$B6)&gt;0,f_Crippling!$Q$16,IF(COUNTIF(f_Crippling!$AA$2:$AA$6,$B6)&gt;0,f_Crippling!$T$16,NA()))</f>
        <v>82.409269875255234</v>
      </c>
      <c r="E31">
        <f>(PI()^2*f_Crippling!$H$3)/(f_RF!D31^2)</f>
        <v>95.398219161394678</v>
      </c>
    </row>
    <row r="32" spans="2:9">
      <c r="B32">
        <v>5</v>
      </c>
      <c r="C32">
        <f>IF(COUNTIF(f_Crippling!$Y$2:$Y$6,$B7)&gt;0,f_Crippling!$Q$18,IF(COUNTIF(f_Crippling!$AA$2:$AA$6,$B7)&gt;0,f_Crippling!$T$18,NA()))</f>
        <v>491.79</v>
      </c>
      <c r="D32">
        <f>IF(COUNTIF(f_Crippling!$Y$2:$Y$6,$B7)&gt;0,f_Crippling!$Q$16,IF(COUNTIF(f_Crippling!$AA$2:$AA$6,$B7)&gt;0,f_Crippling!$T$16,NA()))</f>
        <v>76.180787883739342</v>
      </c>
      <c r="E32">
        <f>(PI()^2*f_Crippling!$H$3)/(f_RF!D32^2)</f>
        <v>111.63528374528528</v>
      </c>
    </row>
    <row r="33" spans="2:5">
      <c r="B33">
        <v>6</v>
      </c>
      <c r="C33">
        <f>IF(COUNTIF(f_Crippling!$Y$2:$Y$6,$B8)&gt;0,f_Crippling!$Q$18,IF(COUNTIF(f_Crippling!$AA$2:$AA$6,$B8)&gt;0,f_Crippling!$T$18,NA()))</f>
        <v>394.86590660683822</v>
      </c>
      <c r="D33">
        <f>IF(COUNTIF(f_Crippling!$Y$2:$Y$6,$B8)&gt;0,f_Crippling!$Q$16,IF(COUNTIF(f_Crippling!$AA$2:$AA$6,$B8)&gt;0,f_Crippling!$T$16,NA()))</f>
        <v>82.409269875255234</v>
      </c>
      <c r="E33">
        <f>(PI()^2*f_Crippling!$H$3)/(f_RF!D33^2)</f>
        <v>95.398219161394678</v>
      </c>
    </row>
    <row r="34" spans="2:5">
      <c r="B34">
        <v>7</v>
      </c>
      <c r="C34">
        <f>IF(COUNTIF(f_Crippling!$Y$2:$Y$6,$B9)&gt;0,f_Crippling!$Q$18,IF(COUNTIF(f_Crippling!$AA$2:$AA$6,$B9)&gt;0,f_Crippling!$T$18,NA()))</f>
        <v>491.79</v>
      </c>
      <c r="D34">
        <f>IF(COUNTIF(f_Crippling!$Y$2:$Y$6,$B9)&gt;0,f_Crippling!$Q$16,IF(COUNTIF(f_Crippling!$AA$2:$AA$6,$B9)&gt;0,f_Crippling!$T$16,NA()))</f>
        <v>76.180787883739342</v>
      </c>
      <c r="E34">
        <f>(PI()^2*f_Crippling!$H$3)/(f_RF!D34^2)</f>
        <v>111.63528374528528</v>
      </c>
    </row>
    <row r="35" spans="2:5">
      <c r="B35">
        <v>8</v>
      </c>
      <c r="C35">
        <f>IF(COUNTIF(f_Crippling!$Y$2:$Y$6,$B10)&gt;0,f_Crippling!$Q$18,IF(COUNTIF(f_Crippling!$AA$2:$AA$6,$B10)&gt;0,f_Crippling!$T$18,NA()))</f>
        <v>491.79</v>
      </c>
      <c r="D35">
        <f>IF(COUNTIF(f_Crippling!$Y$2:$Y$6,$B10)&gt;0,f_Crippling!$Q$16,IF(COUNTIF(f_Crippling!$AA$2:$AA$6,$B10)&gt;0,f_Crippling!$T$16,NA()))</f>
        <v>76.180787883739342</v>
      </c>
      <c r="E35">
        <f>(PI()^2*f_Crippling!$H$3)/(f_RF!D35^2)</f>
        <v>111.63528374528528</v>
      </c>
    </row>
    <row r="36" spans="2:5">
      <c r="B36">
        <v>9</v>
      </c>
      <c r="C36">
        <f>IF(COUNTIF(f_Crippling!$Y$2:$Y$6,$B11)&gt;0,f_Crippling!$Q$18,IF(COUNTIF(f_Crippling!$AA$2:$AA$6,$B11)&gt;0,f_Crippling!$T$18,NA()))</f>
        <v>491.79</v>
      </c>
      <c r="D36">
        <f>IF(COUNTIF(f_Crippling!$Y$2:$Y$6,$B11)&gt;0,f_Crippling!$Q$16,IF(COUNTIF(f_Crippling!$AA$2:$AA$6,$B11)&gt;0,f_Crippling!$T$16,NA()))</f>
        <v>76.180787883739342</v>
      </c>
      <c r="E36">
        <f>(PI()^2*f_Crippling!$H$3)/(f_RF!D36^2)</f>
        <v>111.63528374528528</v>
      </c>
    </row>
  </sheetData>
  <mergeCells count="3">
    <mergeCell ref="B1:E1"/>
    <mergeCell ref="F1:I1"/>
    <mergeCell ref="H15:J15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5414-49A5-814F-B5E1-94754B0BB8F7}">
  <dimension ref="B1:Q61"/>
  <sheetViews>
    <sheetView tabSelected="1" zoomScale="85" zoomScaleNormal="85" workbookViewId="0">
      <selection activeCell="H16" sqref="H16"/>
    </sheetView>
  </sheetViews>
  <sheetFormatPr baseColWidth="10" defaultRowHeight="15.6"/>
  <cols>
    <col min="1" max="1" width="15.69921875" customWidth="1"/>
    <col min="2" max="2" width="23.69921875" customWidth="1"/>
    <col min="3" max="3" width="17.296875" customWidth="1"/>
    <col min="9" max="9" width="19.796875" customWidth="1"/>
    <col min="16" max="16" width="12.796875" customWidth="1"/>
    <col min="17" max="17" width="12" customWidth="1"/>
  </cols>
  <sheetData>
    <row r="1" spans="2:17">
      <c r="B1" t="s">
        <v>49</v>
      </c>
      <c r="C1" t="s">
        <v>50</v>
      </c>
      <c r="E1" s="23" t="s">
        <v>60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2:17">
      <c r="B2" s="23" t="s">
        <v>51</v>
      </c>
      <c r="C2" s="23"/>
      <c r="E2" s="23" t="s">
        <v>58</v>
      </c>
      <c r="F2" s="23"/>
      <c r="G2" s="23"/>
      <c r="H2" s="23"/>
      <c r="I2" s="23"/>
      <c r="J2" s="23"/>
      <c r="L2" s="23" t="s">
        <v>59</v>
      </c>
      <c r="M2" s="23"/>
      <c r="N2" s="23"/>
      <c r="O2" s="23"/>
      <c r="P2" s="23"/>
      <c r="Q2" s="23"/>
    </row>
    <row r="3" spans="2:17">
      <c r="B3" cm="1">
        <f t="array" ref="B3:C32">Results_d!H2:I31</f>
        <v>4.915398902751015</v>
      </c>
      <c r="C3">
        <v>1.3198932375216843</v>
      </c>
      <c r="E3">
        <f>'Results_e,f'!E2</f>
        <v>-55.413272966050641</v>
      </c>
      <c r="F3">
        <f>'Results_e,f'!I2</f>
        <v>23.846147653298427</v>
      </c>
      <c r="G3">
        <f>'Results_e,f'!G2</f>
        <v>39.399464897236562</v>
      </c>
      <c r="H3">
        <f>Results_e_continued!$B$42</f>
        <v>5.7844444444444445</v>
      </c>
      <c r="I3" s="13">
        <f>Results_e_continued!W2</f>
        <v>5.7264299320778802</v>
      </c>
      <c r="J3" cm="1">
        <f t="array" ref="J3:J12">_xlfn._xlws.FILTER(Results_e_continued!AP2:'Results_e_continued'!AP29,Results_e_continued!AQ2:'Results_e_continued'!AQ29&lt;&gt;"")</f>
        <v>1.2209677731796567</v>
      </c>
      <c r="L3">
        <f>'Results_e,f'!F2</f>
        <v>-23.279955056006532</v>
      </c>
      <c r="M3">
        <f>'Results_e,f'!J2</f>
        <v>7.8462151433468197</v>
      </c>
      <c r="N3">
        <f>'Results_e,f'!H2</f>
        <v>155.56517208700083</v>
      </c>
      <c r="O3">
        <f>Results_e_continued!$B$42</f>
        <v>5.7844444444444445</v>
      </c>
      <c r="P3" s="14">
        <f>Results_e_continued!AE2</f>
        <v>5.3556139705077852</v>
      </c>
      <c r="Q3" cm="1">
        <f t="array" ref="Q3:Q12">_xlfn._xlws.FILTER(Results_e_continued!AQ2:'Results_e_continued'!AQ29,Results_e_continued!AQ2:'Results_e_continued'!AQ29&lt;&gt;"")</f>
        <v>0.30294006285631753</v>
      </c>
    </row>
    <row r="4" spans="2:17">
      <c r="B4">
        <v>2.9772047718925174</v>
      </c>
      <c r="C4">
        <v>1.3029922396883467</v>
      </c>
      <c r="E4">
        <f>'Results_e,f'!E5</f>
        <v>-91.457956292773275</v>
      </c>
      <c r="F4">
        <f>'Results_e,f'!I5</f>
        <v>23.846152654191794</v>
      </c>
      <c r="G4">
        <f>'Results_e,f'!G5</f>
        <v>39.032756873157155</v>
      </c>
      <c r="H4">
        <f>Results_e_continued!$B$42</f>
        <v>5.7844444444444445</v>
      </c>
      <c r="I4" s="13">
        <f>Results_e_continued!W5</f>
        <v>5.0862387300719893</v>
      </c>
      <c r="J4">
        <v>0.73960481108176712</v>
      </c>
      <c r="L4">
        <f>'Results_e,f'!F5</f>
        <v>-30.092478229483675</v>
      </c>
      <c r="M4">
        <f>'Results_e,f'!J5</f>
        <v>7.8462545426913328</v>
      </c>
      <c r="N4">
        <f>'Results_e,f'!H5</f>
        <v>154.11746042478134</v>
      </c>
      <c r="O4">
        <f>Results_e_continued!$B$42</f>
        <v>5.7844444444444445</v>
      </c>
      <c r="P4" s="14">
        <f>Results_e_continued!AE5</f>
        <v>5.0862540495154462</v>
      </c>
      <c r="Q4">
        <v>0.2988232754245585</v>
      </c>
    </row>
    <row r="5" spans="2:17">
      <c r="B5">
        <v>3.2812340028614657</v>
      </c>
      <c r="C5">
        <v>1.3028276403237198</v>
      </c>
      <c r="E5">
        <f>'Results_e,f'!E8</f>
        <v>-93.462360205020303</v>
      </c>
      <c r="F5">
        <f>'Results_e,f'!I8</f>
        <v>23.846018873279803</v>
      </c>
      <c r="G5">
        <f>'Results_e,f'!G8</f>
        <v>39.135793297071388</v>
      </c>
      <c r="H5">
        <f>Results_e_continued!$B$42</f>
        <v>5.7844444444444445</v>
      </c>
      <c r="I5" s="13">
        <f>Results_e_continued!W8</f>
        <v>5.0675552952462963</v>
      </c>
      <c r="J5">
        <v>0.72310678397642913</v>
      </c>
      <c r="L5">
        <f>'Results_e,f'!F8</f>
        <v>-30.752011325182355</v>
      </c>
      <c r="M5">
        <f>'Results_e,f'!J8</f>
        <v>7.8456136776305456</v>
      </c>
      <c r="N5">
        <f>'Results_e,f'!H8</f>
        <v>154.52201225594342</v>
      </c>
      <c r="O5">
        <f>Results_e_continued!$B$42</f>
        <v>5.7844444444444445</v>
      </c>
      <c r="P5" s="14">
        <f>Results_e_continued!AE8</f>
        <v>5.0675049584145997</v>
      </c>
      <c r="Q5">
        <v>0.29657168144179852</v>
      </c>
    </row>
    <row r="6" spans="2:17">
      <c r="B6">
        <v>2.7708214648570482</v>
      </c>
      <c r="C6">
        <v>1.3165932677946097</v>
      </c>
      <c r="E6">
        <f>'Results_e,f'!E11</f>
        <v>-93.222038415665409</v>
      </c>
      <c r="F6">
        <f>'Results_e,f'!I11</f>
        <v>23.846320774572309</v>
      </c>
      <c r="G6">
        <f>'Results_e,f'!G11</f>
        <v>39.14346902990939</v>
      </c>
      <c r="H6">
        <f>Results_e_continued!$B$42</f>
        <v>5.7844444444444445</v>
      </c>
      <c r="I6" s="13">
        <f>Results_e_continued!W11</f>
        <v>5.0697560788896814</v>
      </c>
      <c r="J6">
        <v>0.72494441168771973</v>
      </c>
      <c r="L6">
        <f>'Results_e,f'!F11</f>
        <v>-30.673498199284161</v>
      </c>
      <c r="M6">
        <f>'Results_e,f'!J11</f>
        <v>7.8467995813713021</v>
      </c>
      <c r="N6">
        <f>'Results_e,f'!H11</f>
        <v>154.55405316501287</v>
      </c>
      <c r="O6">
        <f>Results_e_continued!$B$42</f>
        <v>5.7844444444444445</v>
      </c>
      <c r="P6" s="14">
        <f>Results_e_continued!AE11</f>
        <v>5.0698080054879497</v>
      </c>
      <c r="Q6">
        <v>0.29656666804211013</v>
      </c>
    </row>
    <row r="7" spans="2:17">
      <c r="B7">
        <v>2.8184543642894937</v>
      </c>
      <c r="C7">
        <v>1.3011262783918391</v>
      </c>
      <c r="E7">
        <f>'Results_e,f'!E14</f>
        <v>-92.821111081150789</v>
      </c>
      <c r="F7">
        <f>'Results_e,f'!I14</f>
        <v>23.846146263511852</v>
      </c>
      <c r="G7">
        <f>'Results_e,f'!G14</f>
        <v>39.142242190929672</v>
      </c>
      <c r="H7">
        <f>Results_e_continued!$B$42</f>
        <v>5.7844444444444445</v>
      </c>
      <c r="I7" s="13">
        <f>Results_e_continued!W14</f>
        <v>5.073432930138436</v>
      </c>
      <c r="J7">
        <v>0.72810064373164252</v>
      </c>
      <c r="L7">
        <f>'Results_e,f'!F14</f>
        <v>-30.540989580149905</v>
      </c>
      <c r="M7">
        <f>'Results_e,f'!J14</f>
        <v>7.8461398628633692</v>
      </c>
      <c r="N7">
        <f>'Results_e,f'!H14</f>
        <v>154.54799228379497</v>
      </c>
      <c r="O7">
        <f>Results_e_continued!$B$42</f>
        <v>5.7844444444444445</v>
      </c>
      <c r="P7" s="14">
        <f>Results_e_continued!AE14</f>
        <v>5.0734358898760794</v>
      </c>
      <c r="Q7">
        <v>0.29676038373137631</v>
      </c>
    </row>
    <row r="8" spans="2:17">
      <c r="B8">
        <v>2.8996591210960259</v>
      </c>
      <c r="C8">
        <v>1.3337041168389314</v>
      </c>
      <c r="E8">
        <f>'Results_e,f'!E17</f>
        <v>-92.705718918306388</v>
      </c>
      <c r="F8">
        <f>'Results_e,f'!I17</f>
        <v>23.846132839911412</v>
      </c>
      <c r="G8">
        <f>'Results_e,f'!G17</f>
        <v>39.142009467321579</v>
      </c>
      <c r="H8">
        <f>Results_e_continued!$B$42</f>
        <v>5.7844444444444445</v>
      </c>
      <c r="I8" s="13">
        <f>Results_e_continued!W17</f>
        <v>5.0744993903524929</v>
      </c>
      <c r="J8">
        <v>0.72901368726872717</v>
      </c>
      <c r="L8">
        <f>'Results_e,f'!F17</f>
        <v>-30.503161720129956</v>
      </c>
      <c r="M8">
        <f>'Results_e,f'!J17</f>
        <v>7.8460788562613226</v>
      </c>
      <c r="N8">
        <f>'Results_e,f'!H17</f>
        <v>154.54711478427072</v>
      </c>
      <c r="O8">
        <f>Results_e_continued!$B$42</f>
        <v>5.7844444444444445</v>
      </c>
      <c r="P8" s="14">
        <f>Results_e_continued!AE17</f>
        <v>5.0744922322861745</v>
      </c>
      <c r="Q8">
        <v>0.29681292711152363</v>
      </c>
    </row>
    <row r="9" spans="2:17">
      <c r="B9">
        <v>2.8206368395948505</v>
      </c>
      <c r="C9">
        <v>1.3221402330634968</v>
      </c>
      <c r="E9">
        <f>'Results_e,f'!E20</f>
        <v>-93.424368299081564</v>
      </c>
      <c r="F9">
        <f>'Results_e,f'!I20</f>
        <v>23.846126383365522</v>
      </c>
      <c r="G9">
        <f>'Results_e,f'!G20</f>
        <v>39.144665401201102</v>
      </c>
      <c r="H9">
        <f>Results_e_continued!$B$42</f>
        <v>5.7844444444444445</v>
      </c>
      <c r="I9" s="13">
        <f>Results_e_continued!W20</f>
        <v>5.067904461531942</v>
      </c>
      <c r="J9">
        <v>0.7233577818528647</v>
      </c>
      <c r="L9">
        <f>'Results_e,f'!F20</f>
        <v>-30.739834806709119</v>
      </c>
      <c r="M9">
        <f>'Results_e,f'!J20</f>
        <v>7.84604327052398</v>
      </c>
      <c r="N9">
        <f>'Results_e,f'!H20</f>
        <v>154.55816907323165</v>
      </c>
      <c r="O9">
        <f>Results_e_continued!$B$42</f>
        <v>5.7844444444444445</v>
      </c>
      <c r="P9" s="14">
        <f>Results_e_continued!AE20</f>
        <v>5.0678878297504486</v>
      </c>
      <c r="Q9">
        <v>0.2964653171749963</v>
      </c>
    </row>
    <row r="10" spans="2:17">
      <c r="B10">
        <v>2.7597054727529966</v>
      </c>
      <c r="C10">
        <v>1.2990746832209759</v>
      </c>
      <c r="E10">
        <f>'Results_e,f'!E23</f>
        <v>-97.764264124313669</v>
      </c>
      <c r="F10">
        <f>'Results_e,f'!I23</f>
        <v>23.846122984307367</v>
      </c>
      <c r="G10">
        <f>'Results_e,f'!G23</f>
        <v>39.2655607783934</v>
      </c>
      <c r="H10">
        <f>Results_e_continued!$B$42</f>
        <v>5.7844444444444445</v>
      </c>
      <c r="I10" s="13">
        <f>Results_e_continued!W23</f>
        <v>5.0304675557748952</v>
      </c>
      <c r="J10">
        <v>0.69049424883822907</v>
      </c>
      <c r="L10">
        <f>'Results_e,f'!F23</f>
        <v>-32.167782985717324</v>
      </c>
      <c r="M10">
        <f>'Results_e,f'!J23</f>
        <v>7.846074605933512</v>
      </c>
      <c r="N10">
        <f>'Results_e,f'!H23</f>
        <v>155.03567954368407</v>
      </c>
      <c r="O10">
        <f>Results_e_continued!$B$42</f>
        <v>5.7844444444444445</v>
      </c>
      <c r="P10" s="14">
        <f>Results_e_continued!AE23</f>
        <v>5.0304558768621455</v>
      </c>
      <c r="Q10">
        <v>0.29301590010933171</v>
      </c>
    </row>
    <row r="11" spans="2:17">
      <c r="B11">
        <v>2.794992771502542</v>
      </c>
      <c r="C11">
        <v>1.3186811607528064</v>
      </c>
      <c r="E11">
        <f>'Results_e,f'!E26</f>
        <v>-99.814182963562089</v>
      </c>
      <c r="F11">
        <f>'Results_e,f'!I26</f>
        <v>23.846115288967287</v>
      </c>
      <c r="G11">
        <f>'Results_e,f'!G26</f>
        <v>39.284209508678494</v>
      </c>
      <c r="H11">
        <f>Results_e_continued!$B$42</f>
        <v>5.7844444444444445</v>
      </c>
      <c r="I11" s="13">
        <f>Results_e_continued!W26</f>
        <v>5.0140920623171503</v>
      </c>
      <c r="J11">
        <v>0.6761597465370135</v>
      </c>
      <c r="L11">
        <f>'Results_e,f'!F26</f>
        <v>-32.842064124437279</v>
      </c>
      <c r="M11">
        <f>'Results_e,f'!J26</f>
        <v>7.8460258897336743</v>
      </c>
      <c r="N11">
        <f>'Results_e,f'!H26</f>
        <v>155.109244290373</v>
      </c>
      <c r="O11">
        <f>Results_e_continued!$B$42</f>
        <v>5.7844444444444445</v>
      </c>
      <c r="P11" s="14">
        <f>Results_e_continued!AE26</f>
        <v>5.014081144988733</v>
      </c>
      <c r="Q11">
        <v>0.29191364731294317</v>
      </c>
    </row>
    <row r="12" spans="2:17">
      <c r="B12">
        <v>2.7652299493882193</v>
      </c>
      <c r="C12">
        <v>1.3151501397279233</v>
      </c>
      <c r="E12">
        <f>'Results_e,f'!E29</f>
        <v>-74.593693830984463</v>
      </c>
      <c r="F12">
        <f>'Results_e,f'!I29</f>
        <v>23.846151722228072</v>
      </c>
      <c r="G12">
        <f>'Results_e,f'!G29</f>
        <v>39.523201047199258</v>
      </c>
      <c r="H12">
        <f>Results_e_continued!$B$42</f>
        <v>5.7844444444444445</v>
      </c>
      <c r="I12" s="13">
        <f>Results_e_continued!W29</f>
        <v>5.291861982915643</v>
      </c>
      <c r="J12">
        <v>0.90432023456668986</v>
      </c>
      <c r="L12">
        <f>'Results_e,f'!F29</f>
        <v>-24.543661857522295</v>
      </c>
      <c r="M12">
        <f>'Results_e,f'!J29</f>
        <v>7.8461967836059543</v>
      </c>
      <c r="N12">
        <f>'Results_e,f'!H29</f>
        <v>156.05293772728351</v>
      </c>
      <c r="O12">
        <f>Results_e_continued!$B$42</f>
        <v>5.7844444444444445</v>
      </c>
      <c r="P12" s="14">
        <f>Results_e_continued!AE29</f>
        <v>5.2918717284492942</v>
      </c>
      <c r="Q12">
        <v>0.29951187006463853</v>
      </c>
    </row>
    <row r="13" spans="2:17">
      <c r="B13">
        <v>2.7840854694981916</v>
      </c>
      <c r="C13">
        <v>1.2990578517429099</v>
      </c>
    </row>
    <row r="14" spans="2:17">
      <c r="B14">
        <v>2.8380699284614375</v>
      </c>
      <c r="C14">
        <v>1.3250564312556108</v>
      </c>
    </row>
    <row r="15" spans="2:17">
      <c r="B15">
        <v>2.8370768543166216</v>
      </c>
      <c r="C15">
        <v>1.3244255659481587</v>
      </c>
      <c r="E15" s="23" t="s">
        <v>61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 spans="2:17">
      <c r="B16">
        <v>2.7978391418639368</v>
      </c>
      <c r="C16">
        <v>1.2992636484092617</v>
      </c>
      <c r="E16">
        <v>1</v>
      </c>
      <c r="F16">
        <f>f_RF!C3</f>
        <v>-75.684082406722581</v>
      </c>
      <c r="G16">
        <f>f_RF!D3</f>
        <v>95.398219161394678</v>
      </c>
      <c r="H16">
        <f>f_RF!E3</f>
        <v>0.84031953287728578</v>
      </c>
      <c r="K16">
        <v>1</v>
      </c>
      <c r="L16">
        <f>f_RF!G3</f>
        <v>-26.764135102321774</v>
      </c>
      <c r="M16">
        <f>f_RF!H3</f>
        <v>95.398219161394678</v>
      </c>
      <c r="N16">
        <f>f_RF!I3</f>
        <v>2.3762700543514277</v>
      </c>
    </row>
    <row r="17" spans="2:14">
      <c r="B17">
        <v>2.7745690198639634</v>
      </c>
      <c r="C17">
        <v>1.3159616014080091</v>
      </c>
      <c r="E17">
        <v>2</v>
      </c>
      <c r="F17">
        <f>f_RF!C4</f>
        <v>-90.831377026703024</v>
      </c>
      <c r="G17">
        <f>f_RF!D4</f>
        <v>95.398219161394678</v>
      </c>
      <c r="H17">
        <f>f_RF!E4</f>
        <v>0.70018549598302415</v>
      </c>
      <c r="K17">
        <v>2</v>
      </c>
      <c r="L17">
        <f>f_RF!G4</f>
        <v>-29.886561038637495</v>
      </c>
      <c r="M17">
        <f>f_RF!H4</f>
        <v>95.398219161394678</v>
      </c>
      <c r="N17">
        <f>f_RF!I4</f>
        <v>2.1280070561494933</v>
      </c>
    </row>
    <row r="18" spans="2:14">
      <c r="B18">
        <v>2.7683950262532657</v>
      </c>
      <c r="C18">
        <v>1.3152075458053296</v>
      </c>
      <c r="E18">
        <v>3</v>
      </c>
      <c r="F18">
        <f>f_RF!C5</f>
        <v>-88.572137010359</v>
      </c>
      <c r="G18">
        <f>f_RF!D5</f>
        <v>111.63528374528528</v>
      </c>
      <c r="H18">
        <f>f_RF!E5</f>
        <v>0.84025885576355253</v>
      </c>
      <c r="K18">
        <v>3</v>
      </c>
      <c r="L18">
        <f>f_RF!G5</f>
        <v>-29.143202004011091</v>
      </c>
      <c r="M18">
        <f>f_RF!H5</f>
        <v>111.63528374528528</v>
      </c>
      <c r="N18">
        <f>f_RF!I5</f>
        <v>2.55371810162156</v>
      </c>
    </row>
    <row r="19" spans="2:14">
      <c r="B19">
        <v>2.8054563602718408</v>
      </c>
      <c r="C19">
        <v>1.299380655573612</v>
      </c>
      <c r="E19">
        <v>4</v>
      </c>
      <c r="F19">
        <f>f_RF!C6</f>
        <v>-90.689334872862304</v>
      </c>
      <c r="G19">
        <f>f_RF!D6</f>
        <v>95.398219161394678</v>
      </c>
      <c r="H19">
        <f>f_RF!E6</f>
        <v>0.70128216138559762</v>
      </c>
      <c r="K19">
        <v>4</v>
      </c>
      <c r="L19">
        <f>f_RF!G6</f>
        <v>-29.839974910184988</v>
      </c>
      <c r="M19">
        <f>f_RF!H6</f>
        <v>95.398219161394678</v>
      </c>
      <c r="N19">
        <f>f_RF!I6</f>
        <v>2.1313292978860905</v>
      </c>
    </row>
    <row r="20" spans="2:14">
      <c r="B20">
        <v>2.8418842126816313</v>
      </c>
      <c r="C20">
        <v>1.3251613747614939</v>
      </c>
      <c r="E20">
        <v>5</v>
      </c>
      <c r="F20">
        <f>f_RF!C7</f>
        <v>-88.159620232932184</v>
      </c>
      <c r="G20">
        <f>f_RF!D7</f>
        <v>111.63528374528528</v>
      </c>
      <c r="H20">
        <f>f_RF!E7</f>
        <v>0.84419059769333959</v>
      </c>
      <c r="K20">
        <v>5</v>
      </c>
      <c r="L20">
        <f>f_RF!G7</f>
        <v>-29.007457400272404</v>
      </c>
      <c r="M20">
        <f>f_RF!H7</f>
        <v>111.63528374528528</v>
      </c>
      <c r="N20">
        <f>f_RF!I7</f>
        <v>2.5656685958334959</v>
      </c>
    </row>
    <row r="21" spans="2:14">
      <c r="B21">
        <v>2.8258398209276709</v>
      </c>
      <c r="C21">
        <v>1.3239104686415586</v>
      </c>
      <c r="E21">
        <v>6</v>
      </c>
      <c r="F21">
        <f>f_RF!C8</f>
        <v>-90.658605880872841</v>
      </c>
      <c r="G21">
        <f>f_RF!D8</f>
        <v>95.398219161394678</v>
      </c>
      <c r="H21">
        <f>f_RF!E8</f>
        <v>0.70151986296627145</v>
      </c>
      <c r="K21">
        <v>6</v>
      </c>
      <c r="L21">
        <f>f_RF!G8</f>
        <v>-29.829735075928717</v>
      </c>
      <c r="M21">
        <f>f_RF!H8</f>
        <v>95.398219161394678</v>
      </c>
      <c r="N21">
        <f>f_RF!I8</f>
        <v>2.1320609322335069</v>
      </c>
    </row>
    <row r="22" spans="2:14">
      <c r="B22">
        <v>2.7827721124781246</v>
      </c>
      <c r="C22">
        <v>1.299156496824909</v>
      </c>
      <c r="E22">
        <v>7</v>
      </c>
      <c r="F22">
        <f>f_RF!C9</f>
        <v>-90.0998167175281</v>
      </c>
      <c r="G22">
        <f>f_RF!D9</f>
        <v>111.63528374528528</v>
      </c>
      <c r="H22">
        <f>f_RF!E9</f>
        <v>0.82601191887195513</v>
      </c>
      <c r="K22">
        <v>7</v>
      </c>
      <c r="L22">
        <f>f_RF!G9</f>
        <v>-29.645815235416105</v>
      </c>
      <c r="M22">
        <f>f_RF!H9</f>
        <v>111.63528374528528</v>
      </c>
      <c r="N22">
        <f>f_RF!I9</f>
        <v>2.5104225303255436</v>
      </c>
    </row>
    <row r="23" spans="2:14">
      <c r="B23">
        <v>2.7675853040476337</v>
      </c>
      <c r="C23">
        <v>1.3159512266793607</v>
      </c>
      <c r="E23">
        <v>8</v>
      </c>
      <c r="F23">
        <f>f_RF!C10</f>
        <v>-92.755482956757845</v>
      </c>
      <c r="G23">
        <f>f_RF!D10</f>
        <v>111.63528374528528</v>
      </c>
      <c r="H23">
        <f>f_RF!E10</f>
        <v>0.8023625140473124</v>
      </c>
      <c r="K23">
        <v>8</v>
      </c>
      <c r="L23">
        <f>f_RF!G10</f>
        <v>-30.51949482151451</v>
      </c>
      <c r="M23">
        <f>f_RF!H10</f>
        <v>111.63528374528528</v>
      </c>
      <c r="N23">
        <f>f_RF!I10</f>
        <v>2.4385568284175037</v>
      </c>
    </row>
    <row r="24" spans="2:14">
      <c r="B24">
        <v>2.7511618919685978</v>
      </c>
      <c r="C24">
        <v>1.3169503029057976</v>
      </c>
      <c r="E24">
        <v>9</v>
      </c>
      <c r="F24">
        <f>f_RF!C11</f>
        <v>-82.499216043006783</v>
      </c>
      <c r="G24">
        <f>f_RF!D11</f>
        <v>111.63528374528528</v>
      </c>
      <c r="H24">
        <f>f_RF!E11</f>
        <v>0.90211187531842629</v>
      </c>
      <c r="K24">
        <v>9</v>
      </c>
      <c r="L24">
        <f>f_RF!G11</f>
        <v>-27.144825344874942</v>
      </c>
      <c r="M24">
        <f>f_RF!H11</f>
        <v>111.63528374528528</v>
      </c>
      <c r="N24">
        <f>f_RF!I11</f>
        <v>2.7417204403161994</v>
      </c>
    </row>
    <row r="25" spans="2:14">
      <c r="B25">
        <v>2.6720509118611186</v>
      </c>
      <c r="C25">
        <v>1.2956948579122309</v>
      </c>
    </row>
    <row r="26" spans="2:14">
      <c r="B26">
        <v>2.7147828130165776</v>
      </c>
      <c r="C26">
        <v>1.3116915308491652</v>
      </c>
    </row>
    <row r="27" spans="2:14">
      <c r="B27">
        <v>2.7426037647219044</v>
      </c>
      <c r="C27">
        <v>1.3230193986860228</v>
      </c>
      <c r="E27">
        <v>1</v>
      </c>
      <c r="F27">
        <f>IF(COUNTIF(f_Crippling!$Y$2:$Y$6,$E27)&gt;0,f_Crippling!$Q$13,IF(COUNTIF(f_Crippling!$AA$2:$AA$6,$E27)&gt;0,f_Crippling!$T$13,NA()))</f>
        <v>56025.309686346867</v>
      </c>
      <c r="G27">
        <f>IF(COUNTIF(f_Crippling!$Y$2:$Y$6,$E27)&gt;0,f_Crippling!$Q$15,IF(COUNTIF(f_Crippling!$AA$2:$AA$6,$E27)&gt;0,f_Crippling!$T$15,NA()))</f>
        <v>7.2807343264687763</v>
      </c>
      <c r="H27">
        <f>IF(COUNTIF(f_Crippling!$Y$2:$Y$6,$E27)&gt;0,f_Crippling!$Q$16,IF(COUNTIF(f_Crippling!$AA$2:$AA$5,$E27)&gt;0,f_Crippling!$T$16,NA()))</f>
        <v>82.409269875255234</v>
      </c>
      <c r="I27">
        <f>IF(COUNTIF(f_Crippling!$Y$2:$Y$6,$E27)&gt;0,f_Crippling!$Q$19,IF(COUNTIF(f_Crippling!$AA$2:$AA$5,$E27)&gt;0,f_Crippling!$T$19,NA()))</f>
        <v>57.284401400784148</v>
      </c>
    </row>
    <row r="28" spans="2:14">
      <c r="B28">
        <v>2.6613761084041694</v>
      </c>
      <c r="C28">
        <v>1.2939201896066255</v>
      </c>
      <c r="E28">
        <v>2</v>
      </c>
      <c r="F28">
        <f>IF(COUNTIF(f_Crippling!$Y$2:$Y$6,$E28)&gt;0,f_Crippling!$Q$13,IF(COUNTIF(f_Crippling!$AA$2:$AA$6,$E28)&gt;0,f_Crippling!$T$13,NA()))</f>
        <v>56025.309686346867</v>
      </c>
      <c r="G28">
        <f>IF(COUNTIF(f_Crippling!$Y$2:$Y$6,$E28)&gt;0,f_Crippling!$Q$15,IF(COUNTIF(f_Crippling!$AA$2:$AA$6,$E28)&gt;0,f_Crippling!$T$15,NA()))</f>
        <v>7.2807343264687763</v>
      </c>
      <c r="H28">
        <f>IF(COUNTIF(f_Crippling!$Y$2:$Y$6,$E28)&gt;0,f_Crippling!$Q$16,IF(COUNTIF(f_Crippling!$AA$2:$AA$5,$E28)&gt;0,f_Crippling!$T$16,NA()))</f>
        <v>82.409269875255234</v>
      </c>
      <c r="I28">
        <f>IF(COUNTIF(f_Crippling!$Y$2:$Y$6,$E28)&gt;0,f_Crippling!$Q$19,IF(COUNTIF(f_Crippling!$AA$2:$AA$5,$E28)&gt;0,f_Crippling!$T$19,NA()))</f>
        <v>57.284401400784148</v>
      </c>
    </row>
    <row r="29" spans="2:14">
      <c r="B29">
        <v>2.620417925675429</v>
      </c>
      <c r="C29">
        <v>1.304337841602889</v>
      </c>
      <c r="E29">
        <v>3</v>
      </c>
      <c r="F29">
        <f>IF(COUNTIF(f_Crippling!$Y$2:$Y$6,$E29)&gt;0,f_Crippling!$Q$13,IF(COUNTIF(f_Crippling!$AA$2:$AA$6,$E29)&gt;0,f_Crippling!$T$13,NA()))</f>
        <v>63450.678126888779</v>
      </c>
      <c r="G29">
        <f>IF(COUNTIF(f_Crippling!$Y$2:$Y$6,$E29)&gt;0,f_Crippling!$Q$15,IF(COUNTIF(f_Crippling!$AA$2:$AA$6,$E29)&gt;0,f_Crippling!$T$15,NA()))</f>
        <v>7.8760015046794889</v>
      </c>
      <c r="H29">
        <f>IF(COUNTIF(f_Crippling!$Y$2:$Y$6,$E29)&gt;0,f_Crippling!$Q$16,IF(COUNTIF(f_Crippling!$AA$2:$AA$5,$E29)&gt;0,f_Crippling!$T$16,NA()))</f>
        <v>76.180787883739342</v>
      </c>
      <c r="I29">
        <f>IF(COUNTIF(f_Crippling!$Y$2:$Y$6,$E29)&gt;0,f_Crippling!$Q$19,IF(COUNTIF(f_Crippling!$AA$2:$AA$5,$E29)&gt;0,f_Crippling!$T$19,NA()))</f>
        <v>51.330010283089493</v>
      </c>
    </row>
    <row r="30" spans="2:14">
      <c r="B30">
        <v>3.1634353552931485</v>
      </c>
      <c r="C30">
        <v>1.2943973299681084</v>
      </c>
      <c r="E30">
        <v>4</v>
      </c>
      <c r="F30">
        <f>IF(COUNTIF(f_Crippling!$Y$2:$Y$6,$E30)&gt;0,f_Crippling!$Q$13,IF(COUNTIF(f_Crippling!$AA$2:$AA$6,$E30)&gt;0,f_Crippling!$T$13,NA()))</f>
        <v>56025.309686346867</v>
      </c>
      <c r="G30">
        <f>IF(COUNTIF(f_Crippling!$Y$2:$Y$6,$E30)&gt;0,f_Crippling!$Q$15,IF(COUNTIF(f_Crippling!$AA$2:$AA$6,$E30)&gt;0,f_Crippling!$T$15,NA()))</f>
        <v>7.2807343264687763</v>
      </c>
      <c r="H30">
        <f>IF(COUNTIF(f_Crippling!$Y$2:$Y$6,$E30)&gt;0,f_Crippling!$Q$16,IF(COUNTIF(f_Crippling!$AA$2:$AA$5,$E30)&gt;0,f_Crippling!$T$16,NA()))</f>
        <v>82.409269875255234</v>
      </c>
      <c r="I30">
        <f>IF(COUNTIF(f_Crippling!$Y$2:$Y$6,$E30)&gt;0,f_Crippling!$Q$19,IF(COUNTIF(f_Crippling!$AA$2:$AA$5,$E30)&gt;0,f_Crippling!$T$19,NA()))</f>
        <v>57.284401400784148</v>
      </c>
    </row>
    <row r="31" spans="2:14">
      <c r="B31">
        <v>2.8822502359155457</v>
      </c>
      <c r="C31">
        <v>1.2993735850815198</v>
      </c>
      <c r="E31">
        <v>5</v>
      </c>
      <c r="F31">
        <f>IF(COUNTIF(f_Crippling!$Y$2:$Y$6,$E31)&gt;0,f_Crippling!$Q$13,IF(COUNTIF(f_Crippling!$AA$2:$AA$6,$E31)&gt;0,f_Crippling!$T$13,NA()))</f>
        <v>63450.678126888779</v>
      </c>
      <c r="G31">
        <f>IF(COUNTIF(f_Crippling!$Y$2:$Y$6,$E31)&gt;0,f_Crippling!$Q$15,IF(COUNTIF(f_Crippling!$AA$2:$AA$6,$E31)&gt;0,f_Crippling!$T$15,NA()))</f>
        <v>7.8760015046794889</v>
      </c>
      <c r="H31">
        <f>IF(COUNTIF(f_Crippling!$Y$2:$Y$6,$E31)&gt;0,f_Crippling!$Q$16,IF(COUNTIF(f_Crippling!$AA$2:$AA$5,$E31)&gt;0,f_Crippling!$T$16,NA()))</f>
        <v>76.180787883739342</v>
      </c>
      <c r="I31">
        <f>IF(COUNTIF(f_Crippling!$Y$2:$Y$6,$E31)&gt;0,f_Crippling!$Q$19,IF(COUNTIF(f_Crippling!$AA$2:$AA$5,$E31)&gt;0,f_Crippling!$T$19,NA()))</f>
        <v>51.330010283089493</v>
      </c>
    </row>
    <row r="32" spans="2:14">
      <c r="B32">
        <v>3.4581576953668742</v>
      </c>
      <c r="C32">
        <v>1.317999224985829</v>
      </c>
      <c r="E32">
        <v>6</v>
      </c>
      <c r="F32">
        <f>IF(COUNTIF(f_Crippling!$Y$2:$Y$6,$E32)&gt;0,f_Crippling!$Q$13,IF(COUNTIF(f_Crippling!$AA$2:$AA$6,$E32)&gt;0,f_Crippling!$T$13,NA()))</f>
        <v>56025.309686346867</v>
      </c>
      <c r="G32">
        <f>IF(COUNTIF(f_Crippling!$Y$2:$Y$6,$E32)&gt;0,f_Crippling!$Q$15,IF(COUNTIF(f_Crippling!$AA$2:$AA$6,$E32)&gt;0,f_Crippling!$T$15,NA()))</f>
        <v>7.2807343264687763</v>
      </c>
      <c r="H32">
        <f>IF(COUNTIF(f_Crippling!$Y$2:$Y$6,$E32)&gt;0,f_Crippling!$Q$16,IF(COUNTIF(f_Crippling!$AA$2:$AA$5,$E32)&gt;0,f_Crippling!$T$16,NA()))</f>
        <v>82.409269875255234</v>
      </c>
      <c r="I32">
        <f>IF(COUNTIF(f_Crippling!$Y$2:$Y$6,$E32)&gt;0,f_Crippling!$Q$19,IF(COUNTIF(f_Crippling!$AA$2:$AA$5,$E32)&gt;0,f_Crippling!$T$19,NA()))</f>
        <v>57.284401400784148</v>
      </c>
    </row>
    <row r="33" spans="2:9">
      <c r="B33" cm="1">
        <f t="array" ref="B33:C59">Results_d!H38:I64</f>
        <v>4.194960956539294</v>
      </c>
      <c r="C33">
        <v>13.253962058005124</v>
      </c>
      <c r="E33">
        <v>7</v>
      </c>
      <c r="F33">
        <f>IF(COUNTIF(f_Crippling!$Y$2:$Y$6,$E33)&gt;0,f_Crippling!$Q$13,IF(COUNTIF(f_Crippling!$AA$2:$AA$6,$E33)&gt;0,f_Crippling!$T$13,NA()))</f>
        <v>63450.678126888779</v>
      </c>
      <c r="G33">
        <f>IF(COUNTIF(f_Crippling!$Y$2:$Y$6,$E33)&gt;0,f_Crippling!$Q$15,IF(COUNTIF(f_Crippling!$AA$2:$AA$6,$E33)&gt;0,f_Crippling!$T$15,NA()))</f>
        <v>7.8760015046794889</v>
      </c>
      <c r="H33">
        <f>IF(COUNTIF(f_Crippling!$Y$2:$Y$6,$E33)&gt;0,f_Crippling!$Q$16,IF(COUNTIF(f_Crippling!$AA$2:$AA$5,$E33)&gt;0,f_Crippling!$T$16,NA()))</f>
        <v>76.180787883739342</v>
      </c>
      <c r="I33">
        <f>IF(COUNTIF(f_Crippling!$Y$2:$Y$6,$E33)&gt;0,f_Crippling!$Q$19,IF(COUNTIF(f_Crippling!$AA$2:$AA$5,$E33)&gt;0,f_Crippling!$T$19,NA()))</f>
        <v>51.330010283089493</v>
      </c>
    </row>
    <row r="34" spans="2:9">
      <c r="B34">
        <v>4.6372752875790253</v>
      </c>
      <c r="C34">
        <v>14.092328364249632</v>
      </c>
      <c r="E34">
        <v>8</v>
      </c>
      <c r="F34">
        <f>IF(COUNTIF(f_Crippling!$Y$2:$Y$6,$E34)&gt;0,f_Crippling!$Q$13,IF(COUNTIF(f_Crippling!$AA$2:$AA$6,$E34)&gt;0,f_Crippling!$T$13,NA()))</f>
        <v>63450.678126888779</v>
      </c>
      <c r="G34">
        <f>IF(COUNTIF(f_Crippling!$Y$2:$Y$6,$E34)&gt;0,f_Crippling!$Q$15,IF(COUNTIF(f_Crippling!$AA$2:$AA$6,$E34)&gt;0,f_Crippling!$T$15,NA()))</f>
        <v>7.8760015046794889</v>
      </c>
      <c r="H34">
        <f>IF(COUNTIF(f_Crippling!$Y$2:$Y$6,$E34)&gt;0,f_Crippling!$Q$16,IF(COUNTIF(f_Crippling!$AA$2:$AA$5,$E34)&gt;0,f_Crippling!$T$16,NA()))</f>
        <v>76.180787883739342</v>
      </c>
      <c r="I34">
        <f>IF(COUNTIF(f_Crippling!$Y$2:$Y$6,$E34)&gt;0,f_Crippling!$Q$19,IF(COUNTIF(f_Crippling!$AA$2:$AA$5,$E34)&gt;0,f_Crippling!$T$19,NA()))</f>
        <v>51.330010283089493</v>
      </c>
    </row>
    <row r="35" spans="2:9">
      <c r="B35">
        <v>4.1663016393842351</v>
      </c>
      <c r="C35">
        <v>12.205606849617949</v>
      </c>
      <c r="E35">
        <v>9</v>
      </c>
      <c r="F35">
        <f>IF(COUNTIF(f_Crippling!$Y$2:$Y$6,$E35)&gt;0,f_Crippling!$Q$13,IF(COUNTIF(f_Crippling!$AA$2:$AA$6,$E35)&gt;0,f_Crippling!$T$13,NA()))</f>
        <v>63450.678126888779</v>
      </c>
      <c r="G35">
        <f>IF(COUNTIF(f_Crippling!$Y$2:$Y$6,$E35)&gt;0,f_Crippling!$Q$15,IF(COUNTIF(f_Crippling!$AA$2:$AA$6,$E35)&gt;0,f_Crippling!$T$15,NA()))</f>
        <v>7.8760015046794889</v>
      </c>
      <c r="H35">
        <f>IF(COUNTIF(f_Crippling!$Y$2:$Y$6,$E35)&gt;0,f_Crippling!$Q$16,IF(COUNTIF(f_Crippling!$AA$2:$AA$6,$E35)&gt;0,f_Crippling!$T$16,NA()))</f>
        <v>76.180787883739342</v>
      </c>
      <c r="I35">
        <f>IF(COUNTIF(f_Crippling!$Y$2:$Y$6,$E35)&gt;0,f_Crippling!$Q$19,IF(COUNTIF(f_Crippling!$AA$2:$AA$6,$E35)&gt;0,f_Crippling!$T$19,NA()))</f>
        <v>51.330010283089493</v>
      </c>
    </row>
    <row r="36" spans="2:9">
      <c r="B36">
        <v>4.1648296187361069</v>
      </c>
      <c r="C36">
        <v>12.646532778176736</v>
      </c>
    </row>
    <row r="37" spans="2:9">
      <c r="B37">
        <v>4.0058874477384911</v>
      </c>
      <c r="C37">
        <v>12.173245413614456</v>
      </c>
    </row>
    <row r="38" spans="2:9">
      <c r="B38">
        <v>4.1655393597975845</v>
      </c>
      <c r="C38">
        <v>12.671858639576786</v>
      </c>
      <c r="E38" t="s">
        <v>143</v>
      </c>
      <c r="F38">
        <f>Volume!B43</f>
        <v>16.397640925754612</v>
      </c>
      <c r="G38" t="s">
        <v>144</v>
      </c>
    </row>
    <row r="39" spans="2:9">
      <c r="B39">
        <v>4.8473103773165711</v>
      </c>
      <c r="C39">
        <v>14.702631701929196</v>
      </c>
    </row>
    <row r="40" spans="2:9">
      <c r="B40">
        <v>4.8228016261563607</v>
      </c>
      <c r="C40">
        <v>14.660010732921078</v>
      </c>
    </row>
    <row r="41" spans="2:9">
      <c r="B41">
        <v>4.8489193875088237</v>
      </c>
      <c r="C41">
        <v>14.764007117075899</v>
      </c>
    </row>
    <row r="42" spans="2:9">
      <c r="B42">
        <v>4.2260049015773813</v>
      </c>
      <c r="C42">
        <v>12.853871554354379</v>
      </c>
    </row>
    <row r="43" spans="2:9">
      <c r="B43">
        <v>4.1922481287073765</v>
      </c>
      <c r="C43">
        <v>12.741060721688573</v>
      </c>
    </row>
    <row r="44" spans="2:9">
      <c r="B44">
        <v>4.2253489444867078</v>
      </c>
      <c r="C44">
        <v>12.830917434302316</v>
      </c>
    </row>
    <row r="45" spans="2:9">
      <c r="B45">
        <v>4.8398458378393192</v>
      </c>
      <c r="C45">
        <v>14.711833293533706</v>
      </c>
    </row>
    <row r="46" spans="2:9">
      <c r="B46">
        <v>4.8154816865631078</v>
      </c>
      <c r="C46">
        <v>14.634767882536847</v>
      </c>
    </row>
    <row r="47" spans="2:9">
      <c r="B47">
        <v>4.8396653785581716</v>
      </c>
      <c r="C47">
        <v>14.705583987158789</v>
      </c>
    </row>
    <row r="48" spans="2:9">
      <c r="B48">
        <v>4.2297331573995587</v>
      </c>
      <c r="C48">
        <v>12.847686836764497</v>
      </c>
    </row>
    <row r="49" spans="2:3">
      <c r="B49">
        <v>4.2196192397508021</v>
      </c>
      <c r="C49">
        <v>12.824096459092239</v>
      </c>
    </row>
    <row r="50" spans="2:3">
      <c r="B50">
        <v>4.2302210249998016</v>
      </c>
      <c r="C50">
        <v>12.863877785030889</v>
      </c>
    </row>
    <row r="51" spans="2:3">
      <c r="B51">
        <v>4.895950299213907</v>
      </c>
      <c r="C51">
        <v>14.928298032373553</v>
      </c>
    </row>
    <row r="52" spans="2:3">
      <c r="B52">
        <v>4.8899469865845022</v>
      </c>
      <c r="C52">
        <v>14.861836348562225</v>
      </c>
    </row>
    <row r="53" spans="2:3">
      <c r="B53">
        <v>4.8931230121009435</v>
      </c>
      <c r="C53">
        <v>14.823568959047806</v>
      </c>
    </row>
    <row r="54" spans="2:3">
      <c r="B54">
        <v>4.8981741059720658</v>
      </c>
      <c r="C54">
        <v>14.915833119738364</v>
      </c>
    </row>
    <row r="55" spans="2:3">
      <c r="B55">
        <v>4.7047925139080196</v>
      </c>
      <c r="C55">
        <v>14.29919227626028</v>
      </c>
    </row>
    <row r="56" spans="2:3">
      <c r="B56">
        <v>4.8964063529850215</v>
      </c>
      <c r="C56">
        <v>14.852702577699457</v>
      </c>
    </row>
    <row r="57" spans="2:3">
      <c r="B57">
        <v>5.0674445328260198</v>
      </c>
      <c r="C57">
        <v>14.768151533298484</v>
      </c>
    </row>
    <row r="58" spans="2:3">
      <c r="B58">
        <v>5.6457274658207641</v>
      </c>
      <c r="C58">
        <v>17.158875229879165</v>
      </c>
    </row>
    <row r="59" spans="2:3">
      <c r="B59">
        <v>5.1072068175159018</v>
      </c>
      <c r="C59">
        <v>16.222735600087155</v>
      </c>
    </row>
    <row r="61" spans="2:3">
      <c r="B61" s="21"/>
      <c r="C61" s="21"/>
    </row>
  </sheetData>
  <mergeCells count="6">
    <mergeCell ref="B2:C2"/>
    <mergeCell ref="B61:C61"/>
    <mergeCell ref="E2:J2"/>
    <mergeCell ref="L2:Q2"/>
    <mergeCell ref="E1:Q1"/>
    <mergeCell ref="E15:Q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Import_UngaBunga</vt:lpstr>
      <vt:lpstr>Import</vt:lpstr>
      <vt:lpstr>Results_d</vt:lpstr>
      <vt:lpstr>Volume</vt:lpstr>
      <vt:lpstr>Results_e,f</vt:lpstr>
      <vt:lpstr>Results_e_continued</vt:lpstr>
      <vt:lpstr>f_Crippling</vt:lpstr>
      <vt:lpstr>f_RF</vt:lpstr>
      <vt:lpstr>Results_final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Lieven Müller</dc:creator>
  <cp:lastModifiedBy>Lieven Müller</cp:lastModifiedBy>
  <dcterms:created xsi:type="dcterms:W3CDTF">2026-05-31T14:00:25Z</dcterms:created>
  <dcterms:modified xsi:type="dcterms:W3CDTF">2026-07-08T19:38:06Z</dcterms:modified>
</cp:coreProperties>
</file>